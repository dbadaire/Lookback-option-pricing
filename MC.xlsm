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nuel\Desktop\IT project\"/>
    </mc:Choice>
  </mc:AlternateContent>
  <xr:revisionPtr revIDLastSave="0" documentId="13_ncr:1_{B762BC1E-1F4B-4CC0-8778-AF9F7CE22C20}" xr6:coauthVersionLast="47" xr6:coauthVersionMax="47" xr10:uidLastSave="{00000000-0000-0000-0000-000000000000}"/>
  <bookViews>
    <workbookView xWindow="-98" yWindow="-98" windowWidth="19396" windowHeight="11475" xr2:uid="{8D0912DC-15B2-40D5-8217-1E47FECF33D2}"/>
  </bookViews>
  <sheets>
    <sheet name="Option" sheetId="1" r:id="rId1"/>
  </sheets>
  <functionGroups builtInGroupCount="19"/>
  <definedNames>
    <definedName name="_xleta.DELTA" hidden="1" xlm="1">#NAME?</definedName>
    <definedName name="Delta0">CHOOSE(   MATCH(Option!$B$3,         {"Lookback call","Lookback put"},         0),   Option!$AO$36:$AY$36,   Option!$BB$36:$BL$36)</definedName>
    <definedName name="Delta100">CHOOSE(   MATCH(Option!$B$3,         {"Lookback call","Lookback put"},         0),   Option!$AO$41:$AY$41,   Option!$BB$41:$BL$41)</definedName>
    <definedName name="Delta120">CHOOSE(   MATCH(Option!$B$3,         {"Lookback call","Lookback put"},         0),   Option!$AO$42:$AY$42,   Option!$BB$42:$BL$42)</definedName>
    <definedName name="Delta140">CHOOSE(   MATCH(Option!$B$3,         {"Lookback call","Lookback put"},         0),   Option!$AO$43:$AY$43,   Option!$BB$43:$BL$43)</definedName>
    <definedName name="Delta160">CHOOSE(   MATCH(Option!$B$3,         {"Lookback call","Lookback put"},         0),   Option!$AO$44:$AY$44,   Option!$BB$44:$BL$44)</definedName>
    <definedName name="Delta180">CHOOSE(   MATCH(Option!$B$3,         {"Lookback call","Lookback put"},         0),   Option!$AO$45:$AY$45,   Option!$BB$45:$BL$45)</definedName>
    <definedName name="Delta20">CHOOSE(   MATCH(Option!$B$3,         {"Lookback call","Lookback put"},         0),   Option!$AO$37:$AY$37,   Option!$BB$37:$BL$37)</definedName>
    <definedName name="Delta200">CHOOSE(   MATCH(Option!$B$3,         {"Lookback call","Lookback put"},         0),   Option!$AO$46:$AY$46,   Option!$BB$46:$BL$46)</definedName>
    <definedName name="Delta40">CHOOSE(   MATCH(Option!$B$3,         {"Lookback call","Lookback put"},         0),   Option!$AO$38:$AY$38,   Option!$BB$38:$BL$38)</definedName>
    <definedName name="Delta60">CHOOSE(   MATCH(Option!$B$3,         {"Lookback call","Lookback put"},         0),   Option!$AO$39:$AY$39,   Option!$BB$39:$BL$39)</definedName>
    <definedName name="Delta80">CHOOSE(   MATCH(Option!$B$3,         {"Lookback call","Lookback put"},         0),   Option!$AO$40:$AY$40,   Option!$BB$40:$BL$40)</definedName>
    <definedName name="DT">CHOOSE(   MATCH(Option!$B$3,         {"Lookback call","Lookback put"},         0),   Option!$O$31:$DJ$31,   Option!$O$32:$DJ$32)</definedName>
    <definedName name="Err">CHOOSE(   MATCH(Option!$B$3,         {"Lookback call","Lookback put"},         0),   Option!$O$23:$DJ$23,   Option!$O$25:$DJ$25)</definedName>
    <definedName name="ErrVR">CHOOSE(   MATCH(Option!$B$3,         {"Lookback call","Lookback put"},         0),   Option!$O$24:$DJ$24,   Option!$O$26:$DJ$26)</definedName>
    <definedName name="Limit">CHOOSE(   MATCH(Option!$B$3,         {"Lookback call","Lookback put"},         0),     (Option!$DL$19,Option!$DM$19), (Option!$DL$21,Option!$DM$21))</definedName>
    <definedName name="Price0">CHOOSE(   MATCH(Option!$B$3,         {"Lookback call","Lookback put"},         0),   Option!$O$36:$Y$36,   Option!$AB$36:$AL$36)</definedName>
    <definedName name="Price100">CHOOSE(   MATCH(Option!$B$3,         {"Lookback call","Lookback put"},         0),   Option!$O$41:$Y$41,   Option!$AB$41:$AL$41)</definedName>
    <definedName name="Price120">CHOOSE(   MATCH(Option!$B$3,         {"Lookback call","Lookback put"},         0),   Option!$O$42:$Y$42,   Option!$AB$42:$AL$42)</definedName>
    <definedName name="Price140">CHOOSE(   MATCH(Option!$B$3,         {"Lookback call","Lookback put"},         0),   Option!$O$43:$Y$43,   Option!$AB$43:$AL$43)</definedName>
    <definedName name="Price160">CHOOSE(   MATCH(Option!$B$3,         {"Lookback call","Lookback put"},         0),   Option!$O$44:$Y$44,   Option!$AB$44:$AL$44)</definedName>
    <definedName name="Price180">CHOOSE(   MATCH(Option!$B$3,         {"Lookback call","Lookback put"},         0),   Option!$O$45:$Y$45,   Option!$AB$45:$AL$45)</definedName>
    <definedName name="Price20">CHOOSE(   MATCH(Option!$B$3,         {"Lookback call","Lookback put"},         0),   Option!$O$37:$Y$37,   Option!$AB$37:$AL$37)</definedName>
    <definedName name="Price200">CHOOSE(   MATCH(Option!$B$3,         {"Lookback call","Lookback put"},         0),   Option!$O$46:$Y$46,   Option!$AB$46:$AL$46)</definedName>
    <definedName name="Price40">CHOOSE(   MATCH(Option!$B$3,         {"Lookback call","Lookback put"},         0),   Option!$O$38:$Y$38,   Option!$AB$38:$AL$38)</definedName>
    <definedName name="Price60">CHOOSE(   MATCH(Option!$B$3,         {"Lookback call","Lookback put"},         0),   Option!$O$39:$Y$39,   Option!$AB$39:$AL$39)</definedName>
    <definedName name="Price80">CHOOSE(   MATCH(Option!$B$3,         {"Lookback call","Lookback put"},         0),   Option!$O$40:$Y$40,   Option!$AB$40:$AL$40)</definedName>
    <definedName name="PriceN">CHOOSE(   MATCH(Option!$B$3,         {"Lookback call","Lookback put"},         0),   Option!$O$19:$DJ$19,   Option!$O$21:$DJ$21)</definedName>
    <definedName name="PriceNVR">CHOOSE(   MATCH(Option!$B$3,         {"Lookback call","Lookback put"},         0),   Option!$O$20:$DJ$20,   Option!$O$22:$DJ$22)</definedName>
    <definedName name="PT">CHOOSE(   MATCH(Option!$B$3,         {"Lookback call","Lookback put"},         0),   Option!$O$29:$DJ$29,   Option!$O$30:$DJ$30)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46" i="1" l="1"/>
  <c r="BA45" i="1"/>
  <c r="BA44" i="1"/>
  <c r="BA43" i="1"/>
  <c r="BA42" i="1"/>
  <c r="BA41" i="1"/>
  <c r="BA40" i="1"/>
  <c r="BA39" i="1"/>
  <c r="BA38" i="1"/>
  <c r="BA37" i="1"/>
  <c r="BL35" i="1"/>
  <c r="BK35" i="1"/>
  <c r="BJ35" i="1"/>
  <c r="BI35" i="1"/>
  <c r="BH35" i="1"/>
  <c r="BG35" i="1"/>
  <c r="BF35" i="1"/>
  <c r="BE35" i="1"/>
  <c r="BD35" i="1"/>
  <c r="BC35" i="1"/>
  <c r="AN46" i="1"/>
  <c r="AN45" i="1"/>
  <c r="AN44" i="1"/>
  <c r="AN43" i="1"/>
  <c r="AN42" i="1"/>
  <c r="AN41" i="1"/>
  <c r="AN40" i="1"/>
  <c r="AN39" i="1"/>
  <c r="AN38" i="1"/>
  <c r="AN37" i="1"/>
  <c r="AY35" i="1"/>
  <c r="AX35" i="1"/>
  <c r="AW35" i="1"/>
  <c r="AV35" i="1"/>
  <c r="AU35" i="1"/>
  <c r="AT35" i="1"/>
  <c r="AS35" i="1"/>
  <c r="AR35" i="1"/>
  <c r="AQ35" i="1"/>
  <c r="AP35" i="1"/>
  <c r="AA46" i="1"/>
  <c r="AA45" i="1"/>
  <c r="AA44" i="1"/>
  <c r="AA43" i="1"/>
  <c r="AA42" i="1"/>
  <c r="AA41" i="1"/>
  <c r="AA40" i="1"/>
  <c r="AA39" i="1"/>
  <c r="AA38" i="1"/>
  <c r="AA37" i="1"/>
  <c r="AL35" i="1"/>
  <c r="AK35" i="1"/>
  <c r="AJ35" i="1"/>
  <c r="AI35" i="1"/>
  <c r="AH35" i="1"/>
  <c r="AG35" i="1"/>
  <c r="AF35" i="1"/>
  <c r="AE35" i="1"/>
  <c r="AD35" i="1"/>
  <c r="AC35" i="1"/>
  <c r="N46" i="1"/>
  <c r="N45" i="1"/>
  <c r="N44" i="1"/>
  <c r="N43" i="1"/>
  <c r="N42" i="1"/>
  <c r="N41" i="1"/>
  <c r="N40" i="1"/>
  <c r="N39" i="1"/>
  <c r="N38" i="1"/>
  <c r="Y35" i="1"/>
  <c r="X35" i="1"/>
  <c r="W35" i="1"/>
  <c r="V35" i="1"/>
  <c r="U35" i="1"/>
  <c r="T35" i="1"/>
  <c r="S35" i="1"/>
  <c r="R35" i="1"/>
  <c r="Q35" i="1"/>
  <c r="P35" i="1"/>
  <c r="N37" i="1"/>
  <c r="BC36" i="1" a="1"/>
  <c r="P25" i="1" a="1"/>
  <c r="AJ25" i="1" a="1"/>
  <c r="AJ40" i="1" a="1"/>
  <c r="BH29" i="1" a="1"/>
  <c r="BY32" i="1" a="1"/>
  <c r="U22" i="1" a="1"/>
  <c r="AO36" i="1" a="1"/>
  <c r="AD43" i="1" a="1"/>
  <c r="BI43" i="1" a="1"/>
  <c r="BB25" i="1" a="1"/>
  <c r="BP32" i="1" a="1"/>
  <c r="W32" i="1" a="1"/>
  <c r="V19" i="1" a="1"/>
  <c r="BG24" i="1" a="1"/>
  <c r="CT24" i="1" a="1"/>
  <c r="AF40" i="1" a="1"/>
  <c r="X37" i="1" a="1"/>
  <c r="CP23" i="1" a="1"/>
  <c r="CU20" i="1" a="1"/>
  <c r="CL22" i="1" a="1"/>
  <c r="DI30" i="1" a="1"/>
  <c r="AC46" i="1" a="1"/>
  <c r="AQ36" i="1" a="1"/>
  <c r="CO24" i="1" a="1"/>
  <c r="AR40" i="1" a="1"/>
  <c r="BA21" i="1" a="1"/>
  <c r="CI30" i="1" a="1"/>
  <c r="X21" i="1" a="1"/>
  <c r="BG23" i="1" a="1"/>
  <c r="X31" i="1" a="1"/>
  <c r="AW41" i="1" a="1"/>
  <c r="Q37" i="1" a="1"/>
  <c r="AS37" i="1" a="1"/>
  <c r="CS19" i="1" a="1"/>
  <c r="BK19" i="1" a="1"/>
  <c r="AX41" i="1" a="1"/>
  <c r="F23" i="1" a="1"/>
  <c r="BO21" i="1" a="1"/>
  <c r="BJ36" i="1" a="1"/>
  <c r="AG44" i="1" a="1"/>
  <c r="BW32" i="1" a="1"/>
  <c r="DL19" i="1" a="1"/>
  <c r="DI22" i="1" a="1"/>
  <c r="Q25" i="1" a="1"/>
  <c r="CV23" i="1" a="1"/>
  <c r="CX32" i="1" a="1"/>
  <c r="CU31" i="1" a="1"/>
  <c r="BG42" i="1" a="1"/>
  <c r="AB29" i="1" a="1"/>
  <c r="BY24" i="1" a="1"/>
  <c r="CW30" i="1" a="1"/>
  <c r="CP20" i="1" a="1"/>
  <c r="AY26" i="1" a="1"/>
  <c r="AJ43" i="1" a="1"/>
  <c r="CB22" i="1" a="1"/>
  <c r="CN19" i="1" a="1"/>
  <c r="AT41" i="1" a="1"/>
  <c r="AQ40" i="1" a="1"/>
  <c r="AH29" i="1" a="1"/>
  <c r="V22" i="1" a="1"/>
  <c r="AL23" i="1" a="1"/>
  <c r="R21" i="1" a="1"/>
  <c r="AK43" i="1" a="1"/>
  <c r="BZ26" i="1" a="1"/>
  <c r="BF20" i="1" a="1"/>
  <c r="BM31" i="1" a="1"/>
  <c r="CJ25" i="1" a="1"/>
  <c r="BL22" i="1" a="1"/>
  <c r="I21" i="1" a="1"/>
  <c r="AR39" i="1" a="1"/>
  <c r="AE20" i="1" a="1"/>
  <c r="AT21" i="1" a="1"/>
  <c r="AJ46" i="1" a="1"/>
  <c r="BR31" i="1" a="1"/>
  <c r="BH22" i="1" a="1"/>
  <c r="BJ32" i="1" a="1"/>
  <c r="CG26" i="1" a="1"/>
  <c r="AC30" i="1" a="1"/>
  <c r="AU26" i="1" a="1"/>
  <c r="DC32" i="1" a="1"/>
  <c r="D24" i="1" a="1"/>
  <c r="AR38" i="1" a="1"/>
  <c r="BT24" i="1" a="1"/>
  <c r="CM29" i="1" a="1"/>
  <c r="R24" i="1" a="1"/>
  <c r="BZ31" i="1" a="1"/>
  <c r="CP21" i="1" a="1"/>
  <c r="BD31" i="1" a="1"/>
  <c r="T41" i="1" a="1"/>
  <c r="CT20" i="1" a="1"/>
  <c r="BF39" i="1" a="1"/>
  <c r="DH21" i="1" a="1"/>
  <c r="CT31" i="1" a="1"/>
  <c r="CL24" i="1" a="1"/>
  <c r="AX36" i="1" a="1"/>
  <c r="DA30" i="1" a="1"/>
  <c r="AV37" i="1" a="1"/>
  <c r="CH25" i="1" a="1"/>
  <c r="Y24" i="1" a="1"/>
  <c r="AU39" i="1" a="1"/>
  <c r="Q24" i="1" a="1"/>
  <c r="CG25" i="1" a="1"/>
  <c r="DH29" i="1" a="1"/>
  <c r="CW26" i="1" a="1"/>
  <c r="CJ22" i="1" a="1"/>
  <c r="BF46" i="1" a="1"/>
  <c r="AG19" i="1" a="1"/>
  <c r="DG24" i="1" a="1"/>
  <c r="AA26" i="1" a="1"/>
  <c r="DI29" i="1" a="1"/>
  <c r="AD23" i="1" a="1"/>
  <c r="AH38" i="1" a="1"/>
  <c r="BR25" i="1" a="1"/>
  <c r="Q39" i="1" a="1"/>
  <c r="BM21" i="1" a="1"/>
  <c r="BI32" i="1" a="1"/>
  <c r="C24" i="1" a="1"/>
  <c r="BN26" i="1" a="1"/>
  <c r="AW40" i="1" a="1"/>
  <c r="BJ44" i="1" a="1"/>
  <c r="AW19" i="1" a="1"/>
  <c r="BD29" i="1" a="1"/>
  <c r="BG37" i="1" a="1"/>
  <c r="CR31" i="1" a="1"/>
  <c r="AL22" i="1" a="1"/>
  <c r="AA25" i="1" a="1"/>
  <c r="AN23" i="1" a="1"/>
  <c r="X40" i="1" a="1"/>
  <c r="V43" i="1" a="1"/>
  <c r="AS45" i="1" a="1"/>
  <c r="AV21" i="1" a="1"/>
  <c r="CG31" i="1" a="1"/>
  <c r="AI20" i="1" a="1"/>
  <c r="BK45" i="1" a="1"/>
  <c r="AQ23" i="1" a="1"/>
  <c r="BB42" i="1" a="1"/>
  <c r="BH25" i="1" a="1"/>
  <c r="CG21" i="1" a="1"/>
  <c r="DH22" i="1" a="1"/>
  <c r="CC19" i="1" a="1"/>
  <c r="AW23" i="1" a="1"/>
  <c r="AC24" i="1" a="1"/>
  <c r="AV46" i="1" a="1"/>
  <c r="AD45" i="1" a="1"/>
  <c r="R37" i="1" a="1"/>
  <c r="CK32" i="1" a="1"/>
  <c r="DE32" i="1" a="1"/>
  <c r="BF31" i="1" a="1"/>
  <c r="BJ39" i="1" a="1"/>
  <c r="BF40" i="1" a="1"/>
  <c r="X25" i="1" a="1"/>
  <c r="BC25" i="1" a="1"/>
  <c r="BJ22" i="1" a="1"/>
  <c r="BC19" i="1" a="1"/>
  <c r="CZ22" i="1" a="1"/>
  <c r="AQ24" i="1" a="1"/>
  <c r="CZ21" i="1" a="1"/>
  <c r="BD44" i="1" a="1"/>
  <c r="DF23" i="1" a="1"/>
  <c r="AW46" i="1" a="1"/>
  <c r="CJ20" i="1" a="1"/>
  <c r="Y31" i="1" a="1"/>
  <c r="AP24" i="1" a="1"/>
  <c r="CY30" i="1" a="1"/>
  <c r="P29" i="1" a="1"/>
  <c r="AG39" i="1" a="1"/>
  <c r="AD42" i="1" a="1"/>
  <c r="BJ29" i="1" a="1"/>
  <c r="AR21" i="1" a="1"/>
  <c r="T30" i="1" a="1"/>
  <c r="AL25" i="1" a="1"/>
  <c r="BK39" i="1" a="1"/>
  <c r="BB19" i="1" a="1"/>
  <c r="CI31" i="1" a="1"/>
  <c r="BQ24" i="1" a="1"/>
  <c r="CF30" i="1" a="1"/>
  <c r="BC39" i="1" a="1"/>
  <c r="AK20" i="1" a="1"/>
  <c r="S32" i="1" a="1"/>
  <c r="BL30" i="1" a="1"/>
  <c r="AN24" i="1" a="1"/>
  <c r="AX20" i="1" a="1"/>
  <c r="CA29" i="1" a="1"/>
  <c r="CI25" i="1" a="1"/>
  <c r="Q40" i="1" a="1"/>
  <c r="CW19" i="1" a="1"/>
  <c r="AQ22" i="1" a="1"/>
  <c r="AO30" i="1" a="1"/>
  <c r="CW29" i="1" a="1"/>
  <c r="AW24" i="1" a="1"/>
  <c r="AU23" i="1" a="1"/>
  <c r="U21" i="1" a="1"/>
  <c r="AI30" i="1" a="1"/>
  <c r="AR24" i="1" a="1"/>
  <c r="AC41" i="1" a="1"/>
  <c r="AV44" i="1" a="1"/>
  <c r="AT25" i="1" a="1"/>
  <c r="CU30" i="1" a="1"/>
  <c r="BY19" i="1" a="1"/>
  <c r="AI41" i="1" a="1"/>
  <c r="AZ22" i="1" a="1"/>
  <c r="AE26" i="1" a="1"/>
  <c r="U40" i="1" a="1"/>
  <c r="BA23" i="1" a="1"/>
  <c r="BZ32" i="1" a="1"/>
  <c r="BG43" i="1" a="1"/>
  <c r="AC25" i="1" a="1"/>
  <c r="Z30" i="1" a="1"/>
  <c r="AD21" i="1" a="1"/>
  <c r="CD25" i="1" a="1"/>
  <c r="CV30" i="1" a="1"/>
  <c r="BE23" i="1" a="1"/>
  <c r="AP36" i="1" a="1"/>
  <c r="BJ30" i="1" a="1"/>
  <c r="CU32" i="1" a="1"/>
  <c r="CP26" i="1" a="1"/>
  <c r="R29" i="1" a="1"/>
  <c r="AN26" i="1" a="1"/>
  <c r="AJ39" i="1" a="1"/>
  <c r="AE29" i="1" a="1"/>
  <c r="DI23" i="1" a="1"/>
  <c r="AW37" i="1" a="1"/>
  <c r="BT22" i="1" a="1"/>
  <c r="BE26" i="1" a="1"/>
  <c r="CD23" i="1" a="1"/>
  <c r="BX21" i="1" a="1"/>
  <c r="CR24" i="1" a="1"/>
  <c r="U42" i="1" a="1"/>
  <c r="AZ29" i="1" a="1"/>
  <c r="AI31" i="1" a="1"/>
  <c r="BV22" i="1" a="1"/>
  <c r="AD25" i="1" a="1"/>
  <c r="DB20" i="1" a="1"/>
  <c r="AK38" i="1" a="1"/>
  <c r="BR20" i="1" a="1"/>
  <c r="BG22" i="1" a="1"/>
  <c r="BL24" i="1" a="1"/>
  <c r="BY29" i="1" a="1"/>
  <c r="CY32" i="1" a="1"/>
  <c r="BZ19" i="1" a="1"/>
  <c r="AH42" i="1" a="1"/>
  <c r="CE29" i="1" a="1"/>
  <c r="BR22" i="1" a="1"/>
  <c r="AE42" i="1" a="1"/>
  <c r="BU24" i="1" a="1"/>
  <c r="W22" i="1" a="1"/>
  <c r="AX25" i="1" a="1"/>
  <c r="DF19" i="1" a="1"/>
  <c r="P45" i="1" a="1"/>
  <c r="AT36" i="1" a="1"/>
  <c r="W24" i="1" a="1"/>
  <c r="BY31" i="1" a="1"/>
  <c r="AS32" i="1" a="1"/>
  <c r="AT45" i="1" a="1"/>
  <c r="O40" i="1" a="1"/>
  <c r="BS26" i="1" a="1"/>
  <c r="BG44" i="1" a="1"/>
  <c r="S20" i="1" a="1"/>
  <c r="AS30" i="1" a="1"/>
  <c r="AL30" i="1" a="1"/>
  <c r="CX26" i="1" a="1"/>
  <c r="AP25" i="1" a="1"/>
  <c r="BG39" i="1" a="1"/>
  <c r="S26" i="1" a="1"/>
  <c r="BM29" i="1" a="1"/>
  <c r="CW32" i="1" a="1"/>
  <c r="AQ29" i="1" a="1"/>
  <c r="O26" i="1" a="1"/>
  <c r="U24" i="1" a="1"/>
  <c r="T25" i="1" a="1"/>
  <c r="DA26" i="1" a="1"/>
  <c r="CN25" i="1" a="1"/>
  <c r="U29" i="1" a="1"/>
  <c r="DA22" i="1" a="1"/>
  <c r="BS22" i="1" a="1"/>
  <c r="CZ26" i="1" a="1"/>
  <c r="DH23" i="1" a="1"/>
  <c r="BO26" i="1" a="1"/>
  <c r="T24" i="1" a="1"/>
  <c r="AF20" i="1" a="1"/>
  <c r="H21" i="1" a="1"/>
  <c r="BL20" i="1" a="1"/>
  <c r="AC37" i="1" a="1"/>
  <c r="AZ31" i="1" a="1"/>
  <c r="CL25" i="1" a="1"/>
  <c r="R23" i="1" a="1"/>
  <c r="AU37" i="1" a="1"/>
  <c r="AR30" i="1" a="1"/>
  <c r="P22" i="1" a="1"/>
  <c r="BI46" i="1" a="1"/>
  <c r="DG29" i="1" a="1"/>
  <c r="CY31" i="1" a="1"/>
  <c r="BB24" i="1" a="1"/>
  <c r="BE44" i="1" a="1"/>
  <c r="CO19" i="1" a="1"/>
  <c r="BN22" i="1" a="1"/>
  <c r="BM22" i="1" a="1"/>
  <c r="AD40" i="1" a="1"/>
  <c r="DA23" i="1" a="1"/>
  <c r="AE30" i="1" a="1"/>
  <c r="CY29" i="1" a="1"/>
  <c r="AE38" i="1" a="1"/>
  <c r="BI31" i="1" a="1"/>
  <c r="CH23" i="1" a="1"/>
  <c r="V25" i="1" a="1"/>
  <c r="BU22" i="1" a="1"/>
  <c r="CJ19" i="1" a="1"/>
  <c r="DF24" i="1" a="1"/>
  <c r="AR29" i="1" a="1"/>
  <c r="AF31" i="1" a="1"/>
  <c r="AC38" i="1" a="1"/>
  <c r="S30" i="1" a="1"/>
  <c r="DD30" i="1" a="1"/>
  <c r="AI21" i="1" a="1"/>
  <c r="BQ30" i="1" a="1"/>
  <c r="O22" i="1" a="1"/>
  <c r="BB40" i="1" a="1"/>
  <c r="DF25" i="1" a="1"/>
  <c r="DG31" i="1" a="1"/>
  <c r="BE30" i="1" a="1"/>
  <c r="AG38" i="1" a="1"/>
  <c r="CX24" i="1" a="1"/>
  <c r="AU44" i="1" a="1"/>
  <c r="BC24" i="1" a="1"/>
  <c r="T22" i="1" a="1"/>
  <c r="V31" i="1" a="1"/>
  <c r="BB39" i="1" a="1"/>
  <c r="CL23" i="1" a="1"/>
  <c r="AK45" i="1" a="1"/>
  <c r="CA24" i="1" a="1"/>
  <c r="AQ25" i="1" a="1"/>
  <c r="AJ22" i="1" a="1"/>
  <c r="AI40" i="1" a="1"/>
  <c r="AE46" i="1" a="1"/>
  <c r="BX20" i="1" a="1"/>
  <c r="AY20" i="1" a="1"/>
  <c r="BK46" i="1" a="1"/>
  <c r="CW31" i="1" a="1"/>
  <c r="DE22" i="1" a="1"/>
  <c r="P44" i="1" a="1"/>
  <c r="BF44" i="1" a="1"/>
  <c r="CC20" i="1" a="1"/>
  <c r="Q26" i="1" a="1"/>
  <c r="BM30" i="1" a="1"/>
  <c r="AP40" i="1" a="1"/>
  <c r="BH41" i="1" a="1"/>
  <c r="AV32" i="1" a="1"/>
  <c r="BC31" i="1" a="1"/>
  <c r="CS23" i="1" a="1"/>
  <c r="AM30" i="1" a="1"/>
  <c r="CY23" i="1" a="1"/>
  <c r="DB25" i="1" a="1"/>
  <c r="AZ30" i="1" a="1"/>
  <c r="CZ30" i="1" a="1"/>
  <c r="CH30" i="1" a="1"/>
  <c r="CV32" i="1" a="1"/>
  <c r="CS22" i="1" a="1"/>
  <c r="AU31" i="1" a="1"/>
  <c r="CC24" i="1" a="1"/>
  <c r="CB19" i="1" a="1"/>
  <c r="CQ19" i="1" a="1"/>
  <c r="AL31" i="1" a="1"/>
  <c r="AQ30" i="1" a="1"/>
  <c r="BQ32" i="1" a="1"/>
  <c r="BQ20" i="1" a="1"/>
  <c r="BK38" i="1" a="1"/>
  <c r="BA26" i="1" a="1"/>
  <c r="CE22" i="1" a="1"/>
  <c r="AK32" i="1" a="1"/>
  <c r="CZ32" i="1" a="1"/>
  <c r="W39" i="1" a="1"/>
  <c r="DE26" i="1" a="1"/>
  <c r="BB45" i="1" a="1"/>
  <c r="T43" i="1" a="1"/>
  <c r="AQ45" i="1" a="1"/>
  <c r="AX40" i="1" a="1"/>
  <c r="AK37" i="1" a="1"/>
  <c r="AR45" i="1" a="1"/>
  <c r="AU25" i="1" a="1"/>
  <c r="BI45" i="1" a="1"/>
  <c r="BD23" i="1" a="1"/>
  <c r="CM30" i="1" a="1"/>
  <c r="CW21" i="1" a="1"/>
  <c r="DJ32" i="1" a="1"/>
  <c r="AE44" i="1" a="1"/>
  <c r="BX26" i="1" a="1"/>
  <c r="AV24" i="1" a="1"/>
  <c r="BG25" i="1" a="1"/>
  <c r="BS31" i="1" a="1"/>
  <c r="O21" i="1" a="1"/>
  <c r="AE19" i="1" a="1"/>
  <c r="BM25" i="1" a="1"/>
  <c r="BC43" i="1" a="1"/>
  <c r="BM23" i="1" a="1"/>
  <c r="CG23" i="1" a="1"/>
  <c r="CL29" i="1" a="1"/>
  <c r="Y22" i="1" a="1"/>
  <c r="X20" i="1" a="1"/>
  <c r="AV20" i="1" a="1"/>
  <c r="AO39" i="1" a="1"/>
  <c r="V26" i="1" a="1"/>
  <c r="CC25" i="1" a="1"/>
  <c r="BE43" i="1" a="1"/>
  <c r="AB31" i="1" a="1"/>
  <c r="CW20" i="1" a="1"/>
  <c r="BE39" i="1" a="1"/>
  <c r="BE25" i="1" a="1"/>
  <c r="J22" i="1" a="1"/>
  <c r="AR36" i="1" a="1"/>
  <c r="CR25" i="1" a="1"/>
  <c r="AI38" i="1" a="1"/>
  <c r="F22" i="1" a="1"/>
  <c r="BN32" i="1" a="1"/>
  <c r="CN23" i="1" a="1"/>
  <c r="CF31" i="1" a="1"/>
  <c r="BA32" i="1" a="1"/>
  <c r="CO23" i="1" a="1"/>
  <c r="AD37" i="1" a="1"/>
  <c r="BD30" i="1" a="1"/>
  <c r="W20" i="1" a="1"/>
  <c r="AG29" i="1" a="1"/>
  <c r="O42" i="1" a="1"/>
  <c r="BT26" i="1" a="1"/>
  <c r="AP31" i="1" a="1"/>
  <c r="AC32" i="1" a="1"/>
  <c r="DE23" i="1" a="1"/>
  <c r="CM32" i="1" a="1"/>
  <c r="AX26" i="1" a="1"/>
  <c r="W44" i="1" a="1"/>
  <c r="CQ31" i="1" a="1"/>
  <c r="CF22" i="1" a="1"/>
  <c r="BI23" i="1" a="1"/>
  <c r="CC23" i="1" a="1"/>
  <c r="BD32" i="1" a="1"/>
  <c r="DC24" i="1" a="1"/>
  <c r="Z21" i="1" a="1"/>
  <c r="CD22" i="1" a="1"/>
  <c r="V39" i="1" a="1"/>
  <c r="BS32" i="1" a="1"/>
  <c r="DH19" i="1" a="1"/>
  <c r="P21" i="1" a="1"/>
  <c r="U44" i="1" a="1"/>
  <c r="CQ21" i="1" a="1"/>
  <c r="AM19" i="1" a="1"/>
  <c r="AF26" i="1" a="1"/>
  <c r="S39" i="1" a="1"/>
  <c r="BC40" i="1" a="1"/>
  <c r="AW25" i="1" a="1"/>
  <c r="AE31" i="1" a="1"/>
  <c r="AZ32" i="1" a="1"/>
  <c r="BV26" i="1" a="1"/>
  <c r="BV25" i="1" a="1"/>
  <c r="AX46" i="1" a="1"/>
  <c r="Y23" i="1" a="1"/>
  <c r="AW45" i="1" a="1"/>
  <c r="BZ30" i="1" a="1"/>
  <c r="BL29" i="1" a="1"/>
  <c r="BD43" i="1" a="1"/>
  <c r="W40" i="1" a="1"/>
  <c r="AV29" i="1" a="1"/>
  <c r="AS20" i="1" a="1"/>
  <c r="AM24" i="1" a="1"/>
  <c r="CD20" i="1" a="1"/>
  <c r="R26" i="1" a="1"/>
  <c r="BJ40" i="1" a="1"/>
  <c r="DE31" i="1" a="1"/>
  <c r="W46" i="1" a="1"/>
  <c r="CQ23" i="1" a="1"/>
  <c r="CX22" i="1" a="1"/>
  <c r="BJ38" i="1" a="1"/>
  <c r="I23" i="1" a="1"/>
  <c r="Y19" i="1" a="1"/>
  <c r="AI45" i="1" a="1"/>
  <c r="AE45" i="1" a="1"/>
  <c r="BC23" i="1" a="1"/>
  <c r="AG40" i="1" a="1"/>
  <c r="DB32" i="1" a="1"/>
  <c r="AG30" i="1" a="1"/>
  <c r="T21" i="1" a="1"/>
  <c r="DE21" i="1" a="1"/>
  <c r="V20" i="1" a="1"/>
  <c r="CZ19" i="1" a="1"/>
  <c r="BH37" i="1" a="1"/>
  <c r="DF21" i="1" a="1"/>
  <c r="CB30" i="1" a="1"/>
  <c r="AN21" i="1" a="1"/>
  <c r="AB40" i="1" a="1"/>
  <c r="BL32" i="1" a="1"/>
  <c r="BD45" i="1" a="1"/>
  <c r="P37" i="1" a="1"/>
  <c r="R20" i="1" a="1"/>
  <c r="BC38" i="1" a="1"/>
  <c r="BJ24" i="1" a="1"/>
  <c r="AA29" i="1" a="1"/>
  <c r="CS24" i="1" a="1"/>
  <c r="AS26" i="1" a="1"/>
  <c r="AG32" i="1" a="1"/>
  <c r="U20" i="1" a="1"/>
  <c r="DD23" i="1" a="1"/>
  <c r="BJ23" i="1" a="1"/>
  <c r="AK31" i="1" a="1"/>
  <c r="DC21" i="1" a="1"/>
  <c r="BF32" i="1" a="1"/>
  <c r="AT38" i="1" a="1"/>
  <c r="DG25" i="1" a="1"/>
  <c r="BI44" i="1" a="1"/>
  <c r="AW44" i="1" a="1"/>
  <c r="BS30" i="1" a="1"/>
  <c r="DD21" i="1" a="1"/>
  <c r="DE29" i="1" a="1"/>
  <c r="Y20" i="1" a="1"/>
  <c r="BG38" i="1" a="1"/>
  <c r="AU40" i="1" a="1"/>
  <c r="CS25" i="1" a="1"/>
  <c r="BA30" i="1" a="1"/>
  <c r="E20" i="1" a="1"/>
  <c r="AN19" i="1" a="1"/>
  <c r="BN21" i="1" a="1"/>
  <c r="AU41" i="1" a="1"/>
  <c r="CU25" i="1" a="1"/>
  <c r="AU38" i="1" a="1"/>
  <c r="BW25" i="1" a="1"/>
  <c r="CE21" i="1" a="1"/>
  <c r="V30" i="1" a="1"/>
  <c r="AO21" i="1" a="1"/>
  <c r="CV22" i="1" a="1"/>
  <c r="BH38" i="1" a="1"/>
  <c r="BH36" i="1" a="1"/>
  <c r="AB43" i="1" a="1"/>
  <c r="Q41" i="1" a="1"/>
  <c r="AU19" i="1" a="1"/>
  <c r="U32" i="1" a="1"/>
  <c r="BS24" i="1" a="1"/>
  <c r="AY25" i="1" a="1"/>
  <c r="AD29" i="1" a="1"/>
  <c r="BR24" i="1" a="1"/>
  <c r="AC44" i="1" a="1"/>
  <c r="AF29" i="1" a="1"/>
  <c r="CH31" i="1" a="1"/>
  <c r="BK30" i="1" a="1"/>
  <c r="AV38" i="1" a="1"/>
  <c r="Q20" i="1" a="1"/>
  <c r="BP30" i="1" a="1"/>
  <c r="O23" i="1" a="1"/>
  <c r="P43" i="1" a="1"/>
  <c r="BS21" i="1" a="1"/>
  <c r="CJ30" i="1" a="1"/>
  <c r="CK29" i="1" a="1"/>
  <c r="AX24" i="1" a="1"/>
  <c r="AU42" i="1" a="1"/>
  <c r="E22" i="1" a="1"/>
  <c r="P31" i="1" a="1"/>
  <c r="P38" i="1" a="1"/>
  <c r="T19" i="1" a="1"/>
  <c r="BJ37" i="1" a="1"/>
  <c r="BK23" i="1" a="1"/>
  <c r="CL21" i="1" a="1"/>
  <c r="CQ20" i="1" a="1"/>
  <c r="BI42" i="1" a="1"/>
  <c r="CJ26" i="1" a="1"/>
  <c r="BY22" i="1" a="1"/>
  <c r="CA25" i="1" a="1"/>
  <c r="BX31" i="1" a="1"/>
  <c r="CX19" i="1" a="1"/>
  <c r="BC42" i="1" a="1"/>
  <c r="DD31" i="1" a="1"/>
  <c r="AP38" i="1" a="1"/>
  <c r="CX20" i="1" a="1"/>
  <c r="BP25" i="1" a="1"/>
  <c r="AP37" i="1" a="1"/>
  <c r="Q31" i="1" a="1"/>
  <c r="BG45" i="1" a="1"/>
  <c r="AH26" i="1" a="1"/>
  <c r="AT37" i="1" a="1"/>
  <c r="P42" i="1" a="1"/>
  <c r="AB20" i="1" a="1"/>
  <c r="Y32" i="1" a="1"/>
  <c r="BD40" i="1" a="1"/>
  <c r="BD26" i="1" a="1"/>
  <c r="AB23" i="1" a="1"/>
  <c r="CF24" i="1" a="1"/>
  <c r="BU23" i="1" a="1"/>
  <c r="BT19" i="1" a="1"/>
  <c r="CH22" i="1" a="1"/>
  <c r="AB41" i="1" a="1"/>
  <c r="O44" i="1" a="1"/>
  <c r="BD19" i="1" a="1"/>
  <c r="DG21" i="1" a="1"/>
  <c r="BN25" i="1" a="1"/>
  <c r="BK32" i="1" a="1"/>
  <c r="V37" i="1" a="1"/>
  <c r="CO26" i="1" a="1"/>
  <c r="AH21" i="1" a="1"/>
  <c r="G21" i="1" a="1"/>
  <c r="DC23" i="1" a="1"/>
  <c r="CO30" i="1" a="1"/>
  <c r="AI24" i="1" a="1"/>
  <c r="BD25" i="1" a="1"/>
  <c r="CP22" i="1" a="1"/>
  <c r="BT30" i="1" a="1"/>
  <c r="BD39" i="1" a="1"/>
  <c r="AO29" i="1" a="1"/>
  <c r="AX21" i="1" a="1"/>
  <c r="CF20" i="1" a="1"/>
  <c r="BB29" i="1" a="1"/>
  <c r="C22" i="1" a="1"/>
  <c r="CZ29" i="1" a="1"/>
  <c r="AT22" i="1" a="1"/>
  <c r="DG20" i="1" a="1"/>
  <c r="Y26" i="1" a="1"/>
  <c r="CB23" i="1" a="1"/>
  <c r="AL20" i="1" a="1"/>
  <c r="R46" i="1" a="1"/>
  <c r="AS23" i="1" a="1"/>
  <c r="AP26" i="1" a="1"/>
  <c r="BQ21" i="1" a="1"/>
  <c r="AW31" i="1" a="1"/>
  <c r="BY20" i="1" a="1"/>
  <c r="DJ19" i="1" a="1"/>
  <c r="BN24" i="1" a="1"/>
  <c r="X43" i="1" a="1"/>
  <c r="AI25" i="1" a="1"/>
  <c r="CP19" i="1" a="1"/>
  <c r="CC32" i="1" a="1"/>
  <c r="AX22" i="1" a="1"/>
  <c r="BF22" i="1" a="1"/>
  <c r="S46" i="1" a="1"/>
  <c r="AK42" i="1" a="1"/>
  <c r="CL26" i="1" a="1"/>
  <c r="AU45" i="1" a="1"/>
  <c r="AC22" i="1" a="1"/>
  <c r="D20" i="1" a="1"/>
  <c r="CV29" i="1" a="1"/>
  <c r="AM29" i="1" a="1"/>
  <c r="BX25" i="1" a="1"/>
  <c r="AI43" i="1" a="1"/>
  <c r="CK23" i="1" a="1"/>
  <c r="AK29" i="1" a="1"/>
  <c r="X32" i="1" a="1"/>
  <c r="CT21" i="1" a="1"/>
  <c r="AX45" i="1" a="1"/>
  <c r="AF23" i="1" a="1"/>
  <c r="CQ22" i="1" a="1"/>
  <c r="CQ24" i="1" a="1"/>
  <c r="BI26" i="1" a="1"/>
  <c r="AY19" i="1" a="1"/>
  <c r="AW20" i="1" a="1"/>
  <c r="BT32" i="1" a="1"/>
  <c r="AK24" i="1" a="1"/>
  <c r="R19" i="1" a="1"/>
  <c r="DG19" i="1" a="1"/>
  <c r="DC25" i="1" a="1"/>
  <c r="AO43" i="1" a="1"/>
  <c r="AL32" i="1" a="1"/>
  <c r="CF32" i="1" a="1"/>
  <c r="G19" i="1" a="1"/>
  <c r="BB26" i="1" a="1"/>
  <c r="AK23" i="1" a="1"/>
  <c r="Q29" i="1" a="1"/>
  <c r="BM19" i="1" a="1"/>
  <c r="DG26" i="1" a="1"/>
  <c r="DB19" i="1" a="1"/>
  <c r="AJ29" i="1" a="1"/>
  <c r="BG26" i="1" a="1"/>
  <c r="AN31" i="1" a="1"/>
  <c r="BE20" i="1" a="1"/>
  <c r="CK25" i="1" a="1"/>
  <c r="BT25" i="1" a="1"/>
  <c r="AA31" i="1" a="1"/>
  <c r="R39" i="1" a="1"/>
  <c r="BK22" i="1" a="1"/>
  <c r="CE20" i="1" a="1"/>
  <c r="AB38" i="1" a="1"/>
  <c r="H19" i="1" a="1"/>
  <c r="P40" i="1" a="1"/>
  <c r="AK22" i="1" a="1"/>
  <c r="CE24" i="1" a="1"/>
  <c r="AO38" i="1" a="1"/>
  <c r="AA32" i="1" a="1"/>
  <c r="BH24" i="1" a="1"/>
  <c r="DB23" i="1" a="1"/>
  <c r="O38" i="1" a="1"/>
  <c r="U43" i="1" a="1"/>
  <c r="DF20" i="1" a="1"/>
  <c r="CI32" i="1" a="1"/>
  <c r="DF26" i="1" a="1"/>
  <c r="T37" i="1" a="1"/>
  <c r="CR26" i="1" a="1"/>
  <c r="U26" i="1" a="1"/>
  <c r="AR46" i="1" a="1"/>
  <c r="U31" i="1" a="1"/>
  <c r="DF22" i="1" a="1"/>
  <c r="BT23" i="1" a="1"/>
  <c r="AO40" i="1" a="1"/>
  <c r="AP22" i="1" a="1"/>
  <c r="BN29" i="1" a="1"/>
  <c r="BP24" i="1" a="1"/>
  <c r="BJ21" i="1" a="1"/>
  <c r="H23" i="1" a="1"/>
  <c r="Q43" i="1" a="1"/>
  <c r="AU20" i="1" a="1"/>
  <c r="CS29" i="1" a="1"/>
  <c r="AX23" i="1" a="1"/>
  <c r="BO22" i="1" a="1"/>
  <c r="Q32" i="1" a="1"/>
  <c r="P23" i="1" a="1"/>
  <c r="BG31" i="1" a="1"/>
  <c r="CP30" i="1" a="1"/>
  <c r="CQ25" i="1" a="1"/>
  <c r="CS32" i="1" a="1"/>
  <c r="CL20" i="1" a="1"/>
  <c r="AM22" i="1" a="1"/>
  <c r="CL19" i="1" a="1"/>
  <c r="AF30" i="1" a="1"/>
  <c r="CG22" i="1" a="1"/>
  <c r="AW43" i="1" a="1"/>
  <c r="CR22" i="1" a="1"/>
  <c r="AF38" i="1" a="1"/>
  <c r="AF22" i="1" a="1"/>
  <c r="AE39" i="1" a="1"/>
  <c r="AW29" i="1" a="1"/>
  <c r="AY32" i="1" a="1"/>
  <c r="CV26" i="1" a="1"/>
  <c r="BI36" i="1" a="1"/>
  <c r="BV29" i="1" a="1"/>
  <c r="CP24" i="1" a="1"/>
  <c r="C19" i="1" a="1"/>
  <c r="AQ20" i="1" a="1"/>
  <c r="T45" i="1" a="1"/>
  <c r="BK42" i="1" a="1"/>
  <c r="AT26" i="1" a="1"/>
  <c r="AV43" i="1" a="1"/>
  <c r="BJ46" i="1" a="1"/>
  <c r="CI29" i="1" a="1"/>
  <c r="AT29" i="1" a="1"/>
  <c r="BV32" i="1" a="1"/>
  <c r="AE32" i="1" a="1"/>
  <c r="CD32" i="1" a="1"/>
  <c r="CJ23" i="1" a="1"/>
  <c r="BG36" i="1" a="1"/>
  <c r="O25" i="1" a="1"/>
  <c r="BN31" i="1" a="1"/>
  <c r="CM25" i="1" a="1"/>
  <c r="AS42" i="1" a="1"/>
  <c r="BL19" i="1" a="1"/>
  <c r="AP30" i="1" a="1"/>
  <c r="BX23" i="1" a="1"/>
  <c r="AF37" i="1" a="1"/>
  <c r="AB24" i="1" a="1"/>
  <c r="BX22" i="1" a="1"/>
  <c r="CW25" i="1" a="1"/>
  <c r="BO25" i="1" a="1"/>
  <c r="BB38" i="1" a="1"/>
  <c r="BV19" i="1" a="1"/>
  <c r="AB39" i="1" a="1"/>
  <c r="T29" i="1" a="1"/>
  <c r="DA25" i="1" a="1"/>
  <c r="S19" i="1" a="1"/>
  <c r="AV31" i="1" a="1"/>
  <c r="AT20" i="1" a="1"/>
  <c r="BM24" i="1" a="1"/>
  <c r="BB23" i="1" a="1"/>
  <c r="CA21" i="1" a="1"/>
  <c r="DD26" i="1" a="1"/>
  <c r="DB29" i="1" a="1"/>
  <c r="AR37" i="1" a="1"/>
  <c r="U25" i="1" a="1"/>
  <c r="AK44" i="1" a="1"/>
  <c r="AZ19" i="1" a="1"/>
  <c r="AB21" i="1" a="1"/>
  <c r="CI24" i="1" a="1"/>
  <c r="CS30" i="1" a="1"/>
  <c r="V42" i="1" a="1"/>
  <c r="BD37" i="1" a="1"/>
  <c r="CB32" i="1" a="1"/>
  <c r="P41" i="1" a="1"/>
  <c r="BD21" i="1" a="1"/>
  <c r="AO44" i="1" a="1"/>
  <c r="W30" i="1" a="1"/>
  <c r="CN32" i="1" a="1"/>
  <c r="AN29" i="1" a="1"/>
  <c r="BV30" i="1" a="1"/>
  <c r="DH32" i="1" a="1"/>
  <c r="R32" i="1" a="1"/>
  <c r="AO19" i="1" a="1"/>
  <c r="AE37" i="1" a="1"/>
  <c r="AB26" i="1" a="1"/>
  <c r="CP29" i="1" a="1"/>
  <c r="O32" i="1" a="1"/>
  <c r="AN32" i="1" a="1"/>
  <c r="CI22" i="1" a="1"/>
  <c r="AB25" i="1" a="1"/>
  <c r="AC29" i="1" a="1"/>
  <c r="CJ24" i="1" a="1"/>
  <c r="CJ21" i="1" a="1"/>
  <c r="AP39" i="1" a="1"/>
  <c r="CB26" i="1" a="1"/>
  <c r="DC26" i="1" a="1"/>
  <c r="DH24" i="1" a="1"/>
  <c r="E19" i="1" a="1"/>
  <c r="O46" i="1" a="1"/>
  <c r="CO31" i="1" a="1"/>
  <c r="T20" i="1" a="1"/>
  <c r="AX30" i="1" a="1"/>
  <c r="W38" i="1" a="1"/>
  <c r="CE26" i="1" a="1"/>
  <c r="BI40" i="1" a="1"/>
  <c r="CQ29" i="1" a="1"/>
  <c r="AT19" i="1" a="1"/>
  <c r="AO32" i="1" a="1"/>
  <c r="BW21" i="1" a="1"/>
  <c r="BD22" i="1" a="1"/>
  <c r="AS43" i="1" a="1"/>
  <c r="G24" i="1" a="1"/>
  <c r="V24" i="1" a="1"/>
  <c r="CH24" i="1" a="1"/>
  <c r="AA22" i="1" a="1"/>
  <c r="AB45" i="1" a="1"/>
  <c r="CI26" i="1" a="1"/>
  <c r="AT31" i="1" a="1"/>
  <c r="DB21" i="1" a="1"/>
  <c r="CN20" i="1" a="1"/>
  <c r="CX25" i="1" a="1"/>
  <c r="DB24" i="1" a="1"/>
  <c r="CN21" i="1" a="1"/>
  <c r="P32" i="1" a="1"/>
  <c r="BW20" i="1" a="1"/>
  <c r="T44" i="1" a="1"/>
  <c r="CS31" i="1" a="1"/>
  <c r="U30" i="1" a="1"/>
  <c r="BQ31" i="1" a="1"/>
  <c r="R43" i="1" a="1"/>
  <c r="R38" i="1" a="1"/>
  <c r="AH44" i="1" a="1"/>
  <c r="AR44" i="1" a="1"/>
  <c r="D23" i="1" a="1"/>
  <c r="BN23" i="1" a="1"/>
  <c r="BZ21" i="1" a="1"/>
  <c r="BG30" i="1" a="1"/>
  <c r="BO24" i="1" a="1"/>
  <c r="BD24" i="1" a="1"/>
  <c r="AV23" i="1" a="1"/>
  <c r="DH31" i="1" a="1"/>
  <c r="BF25" i="1" a="1"/>
  <c r="CM22" i="1" a="1"/>
  <c r="DC30" i="1" a="1"/>
  <c r="D19" i="1" a="1"/>
  <c r="DJ22" i="1" a="1"/>
  <c r="CD19" i="1" a="1"/>
  <c r="DA24" i="1" a="1"/>
  <c r="BI29" i="1" a="1"/>
  <c r="Z31" i="1" a="1"/>
  <c r="BW24" i="1" a="1"/>
  <c r="BK41" i="1" a="1"/>
  <c r="DC22" i="1" a="1"/>
  <c r="CD24" i="1" a="1"/>
  <c r="S40" i="1" a="1"/>
  <c r="AR32" i="1" a="1"/>
  <c r="AX37" i="1" a="1"/>
  <c r="AQ38" i="1" a="1"/>
  <c r="AD30" i="1" a="1"/>
  <c r="AD41" i="1" a="1"/>
  <c r="BO19" i="1" a="1"/>
  <c r="BF42" i="1" a="1"/>
  <c r="AS19" i="1" a="1"/>
  <c r="AB42" i="1" a="1"/>
  <c r="BQ25" i="1" a="1"/>
  <c r="AG42" i="1" a="1"/>
  <c r="S45" i="1" a="1"/>
  <c r="T39" i="1" a="1"/>
  <c r="BH21" i="1" a="1"/>
  <c r="BC21" i="1" a="1"/>
  <c r="AR19" i="1" a="1"/>
  <c r="X26" i="1" a="1"/>
  <c r="AR23" i="1" a="1"/>
  <c r="AF19" i="1" a="1"/>
  <c r="BC26" i="1" a="1"/>
  <c r="AB19" i="1" a="1"/>
  <c r="T26" i="1" a="1"/>
  <c r="AK21" i="1" a="1"/>
  <c r="DI24" i="1" a="1"/>
  <c r="CP32" i="1" a="1"/>
  <c r="BA22" i="1" a="1"/>
  <c r="BH26" i="1" a="1"/>
  <c r="O29" i="1" a="1"/>
  <c r="AX38" i="1" a="1"/>
  <c r="CS20" i="1" a="1"/>
  <c r="CO21" i="1" a="1"/>
  <c r="AD22" i="1" a="1"/>
  <c r="CU23" i="1" a="1"/>
  <c r="Y30" i="1" a="1"/>
  <c r="DJ31" i="1" a="1"/>
  <c r="AQ37" i="1" a="1"/>
  <c r="U39" i="1" a="1"/>
  <c r="AA20" i="1" a="1"/>
  <c r="X22" i="1" a="1"/>
  <c r="R45" i="1" a="1"/>
  <c r="AT23" i="1" a="1"/>
  <c r="AH45" i="1" a="1"/>
  <c r="BO30" i="1" a="1"/>
  <c r="AO41" i="1" a="1"/>
  <c r="R41" i="1" a="1"/>
  <c r="AE23" i="1" a="1"/>
  <c r="Z29" i="1" a="1"/>
  <c r="BU26" i="1" a="1"/>
  <c r="BT21" i="1" a="1"/>
  <c r="AI23" i="1" a="1"/>
  <c r="AU32" i="1" a="1"/>
  <c r="W29" i="1" a="1"/>
  <c r="CN31" i="1" a="1"/>
  <c r="Q23" i="1" a="1"/>
  <c r="AU24" i="1" a="1"/>
  <c r="BJ19" i="1" a="1"/>
  <c r="CX23" i="1" a="1"/>
  <c r="AU22" i="1" a="1"/>
  <c r="BG41" i="1" a="1"/>
  <c r="AC23" i="1" a="1"/>
  <c r="AD19" i="1" a="1"/>
  <c r="CH32" i="1" a="1"/>
  <c r="CS26" i="1" a="1"/>
  <c r="CQ26" i="1" a="1"/>
  <c r="G22" i="1" a="1"/>
  <c r="BK44" i="1" a="1"/>
  <c r="X39" i="1" a="1"/>
  <c r="AR26" i="1" a="1"/>
  <c r="BR26" i="1" a="1"/>
  <c r="DJ30" i="1" a="1"/>
  <c r="BK36" i="1" a="1"/>
  <c r="BJ20" i="1" a="1"/>
  <c r="V21" i="1" a="1"/>
  <c r="AM32" i="1" a="1"/>
  <c r="CI20" i="1" a="1"/>
  <c r="CH20" i="1" a="1"/>
  <c r="DG30" i="1" a="1"/>
  <c r="AW38" i="1" a="1"/>
  <c r="BH40" i="1" a="1"/>
  <c r="Y25" i="1" a="1"/>
  <c r="AC45" i="1" a="1"/>
  <c r="BP26" i="1" a="1"/>
  <c r="DJ24" i="1" a="1"/>
  <c r="BY25" i="1" a="1"/>
  <c r="CF26" i="1" a="1"/>
  <c r="AT30" i="1" a="1"/>
  <c r="AO37" i="1" a="1"/>
  <c r="BE42" i="1" a="1"/>
  <c r="CD21" i="1" a="1"/>
  <c r="BC45" i="1" a="1"/>
  <c r="CZ23" i="1" a="1"/>
  <c r="BX32" i="1" a="1"/>
  <c r="BE38" i="1" a="1"/>
  <c r="AD44" i="1" a="1"/>
  <c r="H20" i="1" a="1"/>
  <c r="CT32" i="1" a="1"/>
  <c r="BI39" i="1" a="1"/>
  <c r="BQ19" i="1" a="1"/>
  <c r="CR19" i="1" a="1"/>
  <c r="BO23" i="1" a="1"/>
  <c r="AF32" i="1" a="1"/>
  <c r="BI24" i="1" a="1"/>
  <c r="BB43" i="1" a="1"/>
  <c r="CP31" i="1" a="1"/>
  <c r="BC22" i="1" a="1"/>
  <c r="AV42" i="1" a="1"/>
  <c r="CN29" i="1" a="1"/>
  <c r="CO29" i="1" a="1"/>
  <c r="BZ23" i="1" a="1"/>
  <c r="CJ32" i="1" a="1"/>
  <c r="BR21" i="1" a="1"/>
  <c r="BC44" i="1" a="1"/>
  <c r="BC29" i="1" a="1"/>
  <c r="DI32" i="1" a="1"/>
  <c r="BF45" i="1" a="1"/>
  <c r="H24" i="1" a="1"/>
  <c r="DD24" i="1" a="1"/>
  <c r="BF37" i="1" a="1"/>
  <c r="AG23" i="1" a="1"/>
  <c r="AH40" i="1" a="1"/>
  <c r="Y21" i="1" a="1"/>
  <c r="S43" i="1" a="1"/>
  <c r="AH41" i="1" a="1"/>
  <c r="Z32" i="1" a="1"/>
  <c r="R42" i="1" a="1"/>
  <c r="O39" i="1" a="1"/>
  <c r="DI19" i="1" a="1"/>
  <c r="O45" i="1" a="1"/>
  <c r="BK43" i="1" a="1"/>
  <c r="W23" i="1" a="1"/>
  <c r="AK39" i="1" a="1"/>
  <c r="BD41" i="1" a="1"/>
  <c r="BV24" i="1" a="1"/>
  <c r="CB20" i="1" a="1"/>
  <c r="BH46" i="1" a="1"/>
  <c r="F19" i="1" a="1"/>
  <c r="Q38" i="1" a="1"/>
  <c r="CK21" i="1" a="1"/>
  <c r="CV20" i="1" a="1"/>
  <c r="DC31" i="1" a="1"/>
  <c r="AY21" i="1" a="1"/>
  <c r="AX39" i="1" a="1"/>
  <c r="AS31" i="1" a="1"/>
  <c r="AG45" i="1" a="1"/>
  <c r="AQ43" i="1" a="1"/>
  <c r="AM20" i="1" a="1"/>
  <c r="CA22" i="1" a="1"/>
  <c r="AY24" i="1" a="1"/>
  <c r="AJ30" i="1" a="1"/>
  <c r="AS41" i="1" a="1"/>
  <c r="CF19" i="1" a="1"/>
  <c r="DB26" i="1" a="1"/>
  <c r="AG31" i="1" a="1"/>
  <c r="BH32" i="1" a="1"/>
  <c r="R31" i="1" a="1"/>
  <c r="T23" i="1" a="1"/>
  <c r="AW21" i="1" a="1"/>
  <c r="DD25" i="1" a="1"/>
  <c r="AP20" i="1" a="1"/>
  <c r="BK31" i="1" a="1"/>
  <c r="CO22" i="1" a="1"/>
  <c r="CV24" i="1" a="1"/>
  <c r="BZ20" i="1" a="1"/>
  <c r="AC20" i="1" a="1"/>
  <c r="BH31" i="1" a="1"/>
  <c r="BB44" i="1" a="1"/>
  <c r="CD31" i="1" a="1"/>
  <c r="AB32" i="1" a="1"/>
  <c r="AO23" i="1" a="1"/>
  <c r="BH45" i="1" a="1"/>
  <c r="R44" i="1" a="1"/>
  <c r="CQ30" i="1" a="1"/>
  <c r="AG24" i="1" a="1"/>
  <c r="AO42" i="1" a="1"/>
  <c r="BA24" i="1" a="1"/>
  <c r="DA19" i="1" a="1"/>
  <c r="O24" i="1" a="1"/>
  <c r="BS19" i="1" a="1"/>
  <c r="AI46" i="1" a="1"/>
  <c r="CM20" i="1" a="1"/>
  <c r="BP23" i="1" a="1"/>
  <c r="CR20" i="1" a="1"/>
  <c r="BL23" i="1" a="1"/>
  <c r="AD38" i="1" a="1"/>
  <c r="CT30" i="1" a="1"/>
  <c r="AM25" i="1" a="1"/>
  <c r="DE20" i="1" a="1"/>
  <c r="DB22" i="1" a="1"/>
  <c r="CN26" i="1" a="1"/>
  <c r="DD32" i="1" a="1"/>
  <c r="AV22" i="1" a="1"/>
  <c r="BJ25" i="1" a="1"/>
  <c r="BF38" i="1" a="1"/>
  <c r="DF29" i="1" a="1"/>
  <c r="AK40" i="1" a="1"/>
  <c r="AS36" i="1" a="1"/>
  <c r="AE40" i="1" a="1"/>
  <c r="BW22" i="1" a="1"/>
  <c r="DF31" i="1" a="1"/>
  <c r="X46" i="1" a="1"/>
  <c r="F21" i="1" a="1"/>
  <c r="BQ26" i="1" a="1"/>
  <c r="AJ20" i="1" a="1"/>
  <c r="CR29" i="1" a="1"/>
  <c r="CL32" i="1" a="1"/>
  <c r="AC19" i="1" a="1"/>
  <c r="R25" i="1" a="1"/>
  <c r="AY23" i="1" a="1"/>
  <c r="CW24" i="1" a="1"/>
  <c r="AG20" i="1" a="1"/>
  <c r="AX43" i="1" a="1"/>
  <c r="BI30" i="1" a="1"/>
  <c r="CA30" i="1" a="1"/>
  <c r="P30" i="1" a="1"/>
  <c r="CA20" i="1" a="1"/>
  <c r="BJ45" i="1" a="1"/>
  <c r="V44" i="1" a="1"/>
  <c r="DE30" i="1" a="1"/>
  <c r="AP21" i="1" a="1"/>
  <c r="BK29" i="1" a="1"/>
  <c r="J19" i="1" a="1"/>
  <c r="BU29" i="1" a="1"/>
  <c r="C23" i="1" a="1"/>
  <c r="AQ42" i="1" a="1"/>
  <c r="BA31" i="1" a="1"/>
  <c r="BF36" i="1" a="1"/>
  <c r="AC26" i="1" a="1"/>
  <c r="AQ44" i="1" a="1"/>
  <c r="AT46" i="1" a="1"/>
  <c r="AB46" i="1" a="1"/>
  <c r="CH21" i="1" a="1"/>
  <c r="AO20" i="1" a="1"/>
  <c r="AJ42" i="1" a="1"/>
  <c r="DD22" i="1" a="1"/>
  <c r="CG20" i="1" a="1"/>
  <c r="CK19" i="1" a="1"/>
  <c r="DC29" i="1" a="1"/>
  <c r="CE31" i="1" a="1"/>
  <c r="AU30" i="1" a="1"/>
  <c r="AY30" i="1" a="1"/>
  <c r="J20" i="1" a="1"/>
  <c r="CD29" i="1" a="1"/>
  <c r="BR32" i="1" a="1"/>
  <c r="BA20" i="1" a="1"/>
  <c r="CM26" i="1" a="1"/>
  <c r="S25" i="1" a="1"/>
  <c r="CK31" i="1" a="1"/>
  <c r="AA19" i="1" a="1"/>
  <c r="Z24" i="1" a="1"/>
  <c r="AU21" i="1" a="1"/>
  <c r="BB22" i="1" a="1"/>
  <c r="P20" i="1" a="1"/>
  <c r="Z22" i="1" a="1"/>
  <c r="CK20" i="1" a="1"/>
  <c r="AX44" i="1" a="1"/>
  <c r="BK21" i="1" a="1"/>
  <c r="AK19" i="1" a="1"/>
  <c r="AU46" i="1" a="1"/>
  <c r="BV31" i="1" a="1"/>
  <c r="CH26" i="1" a="1"/>
  <c r="BD42" i="1" a="1"/>
  <c r="AH31" i="1" a="1"/>
  <c r="AD31" i="1" a="1"/>
  <c r="CU22" i="1" a="1"/>
  <c r="DH25" i="1" a="1"/>
  <c r="BB46" i="1" a="1"/>
  <c r="AQ31" i="1" a="1"/>
  <c r="AV45" i="1" a="1"/>
  <c r="AH19" i="1" a="1"/>
  <c r="BL25" i="1" a="1"/>
  <c r="BA29" i="1" a="1"/>
  <c r="AI29" i="1" a="1"/>
  <c r="AV36" i="1" a="1"/>
  <c r="BZ24" i="1" a="1"/>
  <c r="BF29" i="1" a="1"/>
  <c r="Q21" i="1" a="1"/>
  <c r="AW42" i="1" a="1"/>
  <c r="CU24" i="1" a="1"/>
  <c r="V46" i="1" a="1"/>
  <c r="AZ21" i="1" a="1"/>
  <c r="AF45" i="1" a="1"/>
  <c r="AS46" i="1" a="1"/>
  <c r="AX31" i="1" a="1"/>
  <c r="BC20" i="1" a="1"/>
  <c r="AJ38" i="1" a="1"/>
  <c r="DG22" i="1" a="1"/>
  <c r="W42" i="1" a="1"/>
  <c r="J21" i="1" a="1"/>
  <c r="O37" i="1" a="1"/>
  <c r="CA31" i="1" a="1"/>
  <c r="BK37" i="1" a="1"/>
  <c r="BV21" i="1" a="1"/>
  <c r="BF30" i="1" a="1"/>
  <c r="AW39" i="1" a="1"/>
  <c r="BE21" i="1" a="1"/>
  <c r="CC21" i="1" a="1"/>
  <c r="AM23" i="1" a="1"/>
  <c r="Z20" i="1" a="1"/>
  <c r="BG32" i="1" a="1"/>
  <c r="AP46" i="1" a="1"/>
  <c r="BK24" i="1" a="1"/>
  <c r="BN30" i="1" a="1"/>
  <c r="S42" i="1" a="1"/>
  <c r="BI37" i="1" a="1"/>
  <c r="AH39" i="1" a="1"/>
  <c r="DJ29" i="1" a="1"/>
  <c r="AB22" i="1" a="1"/>
  <c r="BS25" i="1" a="1"/>
  <c r="Q30" i="1" a="1"/>
  <c r="CZ25" i="1" a="1"/>
  <c r="AL19" i="1" a="1"/>
  <c r="CJ29" i="1" a="1"/>
  <c r="CU21" i="1" a="1"/>
  <c r="AY31" i="1" a="1"/>
  <c r="Q45" i="1" a="1"/>
  <c r="CB25" i="1" a="1"/>
  <c r="X41" i="1" a="1"/>
  <c r="AH37" i="1" a="1"/>
  <c r="S31" i="1" a="1"/>
  <c r="AD24" i="1" a="1"/>
  <c r="DG23" i="1" a="1"/>
  <c r="BK25" i="1" a="1"/>
  <c r="AL29" i="1" a="1"/>
  <c r="CY21" i="1" a="1"/>
  <c r="AS29" i="1" a="1"/>
  <c r="Z26" i="1" a="1"/>
  <c r="AS39" i="1" a="1"/>
  <c r="AL26" i="1" a="1"/>
  <c r="CM31" i="1" a="1"/>
  <c r="BU21" i="1" a="1"/>
  <c r="AG46" i="1" a="1"/>
  <c r="BV23" i="1" a="1"/>
  <c r="AD32" i="1" a="1"/>
  <c r="BB20" i="1" a="1"/>
  <c r="BD46" i="1" a="1"/>
  <c r="DJ25" i="1" a="1"/>
  <c r="BJ31" i="1" a="1"/>
  <c r="O41" i="1" a="1"/>
  <c r="AG37" i="1" a="1"/>
  <c r="AZ25" i="1" a="1"/>
  <c r="CY25" i="1" a="1"/>
  <c r="AQ46" i="1" a="1"/>
  <c r="CH29" i="1" a="1"/>
  <c r="AM21" i="1" a="1"/>
  <c r="Z19" i="1" a="1"/>
  <c r="BA25" i="1" a="1"/>
  <c r="AW30" i="1" a="1"/>
  <c r="X38" i="1" a="1"/>
  <c r="CM24" i="1" a="1"/>
  <c r="AH25" i="1" a="1"/>
  <c r="AP23" i="1" a="1"/>
  <c r="BL21" i="1" a="1"/>
  <c r="AC42" i="1" a="1"/>
  <c r="AD26" i="1" a="1"/>
  <c r="BM32" i="1" a="1"/>
  <c r="S21" i="1" a="1"/>
  <c r="CW22" i="1" a="1"/>
  <c r="J23" i="1" a="1"/>
  <c r="CM19" i="1" a="1"/>
  <c r="AC31" i="1" a="1"/>
  <c r="AU36" i="1" a="1"/>
  <c r="AP32" i="1" a="1"/>
  <c r="DC19" i="1" a="1"/>
  <c r="BH30" i="1" a="1"/>
  <c r="AW22" i="1" a="1"/>
  <c r="W25" i="1" a="1"/>
  <c r="BO29" i="1" a="1"/>
  <c r="BE19" i="1" a="1"/>
  <c r="AF39" i="1" a="1"/>
  <c r="BV20" i="1" a="1"/>
  <c r="CM21" i="1" a="1"/>
  <c r="DE19" i="1" a="1"/>
  <c r="BP29" i="1" a="1"/>
  <c r="DJ26" i="1" a="1"/>
  <c r="V32" i="1" a="1"/>
  <c r="AK41" i="1" a="1"/>
  <c r="P19" i="1" a="1"/>
  <c r="BH43" i="1" a="1"/>
  <c r="AD39" i="1" a="1"/>
  <c r="BX24" i="1" a="1"/>
  <c r="DI20" i="1" a="1"/>
  <c r="AS22" i="1" a="1"/>
  <c r="AH24" i="1" a="1"/>
  <c r="AT40" i="1" a="1"/>
  <c r="DA21" i="1" a="1"/>
  <c r="AC21" i="1" a="1"/>
  <c r="R40" i="1" a="1"/>
  <c r="AM26" i="1" a="1"/>
  <c r="CA32" i="1" a="1"/>
  <c r="DI31" i="1" a="1"/>
  <c r="AW36" i="1" a="1"/>
  <c r="AL24" i="1" a="1"/>
  <c r="BO32" i="1" a="1"/>
  <c r="E21" i="1" a="1"/>
  <c r="BH44" i="1" a="1"/>
  <c r="J24" i="1" a="1"/>
  <c r="BJ26" i="1" a="1"/>
  <c r="AP29" i="1" a="1"/>
  <c r="AO45" i="1" a="1"/>
  <c r="CB21" i="1" a="1"/>
  <c r="CA23" i="1" a="1"/>
  <c r="CE32" i="1" a="1"/>
  <c r="CK22" i="1" a="1"/>
  <c r="BH39" i="1" a="1"/>
  <c r="BE22" i="1" a="1"/>
  <c r="BM20" i="1" a="1"/>
  <c r="BU32" i="1" a="1"/>
  <c r="T31" i="1" a="1"/>
  <c r="BD20" i="1" a="1"/>
  <c r="AI44" i="1" a="1"/>
  <c r="AK26" i="1" a="1"/>
  <c r="DD19" i="1" a="1"/>
  <c r="BW26" i="1" a="1"/>
  <c r="AS44" i="1" a="1"/>
  <c r="CX29" i="1" a="1"/>
  <c r="Q22" i="1" a="1"/>
  <c r="AN20" i="1" a="1"/>
  <c r="DH26" i="1" a="1"/>
  <c r="BY21" i="1" a="1"/>
  <c r="BB30" i="1" a="1"/>
  <c r="AZ20" i="1" a="1"/>
  <c r="CG32" i="1" a="1"/>
  <c r="AB30" i="1" a="1"/>
  <c r="BA19" i="1" a="1"/>
  <c r="AC40" i="1" a="1"/>
  <c r="BP22" i="1" a="1"/>
  <c r="AV19" i="1" a="1"/>
  <c r="V38" i="1" a="1"/>
  <c r="CO32" i="1" a="1"/>
  <c r="AJ44" i="1" a="1"/>
  <c r="AF46" i="1" a="1"/>
  <c r="CF21" i="1" a="1"/>
  <c r="T32" i="1" a="1"/>
  <c r="BK40" i="1" a="1"/>
  <c r="I19" i="1" a="1"/>
  <c r="AR41" i="1" a="1"/>
  <c r="AP41" i="1" a="1"/>
  <c r="CQ32" i="1" a="1"/>
  <c r="AJ24" i="1" a="1"/>
  <c r="AE25" i="1" a="1"/>
  <c r="CM23" i="1" a="1"/>
  <c r="BZ29" i="1" a="1"/>
  <c r="BS29" i="1" a="1"/>
  <c r="BK20" i="1" a="1"/>
  <c r="CZ20" i="1" a="1"/>
  <c r="AH23" i="1" a="1"/>
  <c r="R22" i="1" a="1"/>
  <c r="BW19" i="1" a="1"/>
  <c r="AX32" i="1" a="1"/>
  <c r="AR43" i="1" a="1"/>
  <c r="DA31" i="1" a="1"/>
  <c r="DG32" i="1" a="1"/>
  <c r="X42" i="1" a="1"/>
  <c r="AO25" i="1" a="1"/>
  <c r="U37" i="1" a="1"/>
  <c r="CY26" i="1" a="1"/>
  <c r="BF23" i="1" a="1"/>
  <c r="AJ19" i="1" a="1"/>
  <c r="CC22" i="1" a="1"/>
  <c r="DB30" i="1" a="1"/>
  <c r="BI21" i="1" a="1"/>
  <c r="X19" i="1" a="1"/>
  <c r="AI32" i="1" a="1"/>
  <c r="BP31" i="1" a="1"/>
  <c r="BX19" i="1" a="1"/>
  <c r="BZ22" i="1" a="1"/>
  <c r="AS40" i="1" a="1"/>
  <c r="BQ29" i="1" a="1"/>
  <c r="AJ26" i="1" a="1"/>
  <c r="AV41" i="1" a="1"/>
  <c r="BU19" i="1" a="1"/>
  <c r="AQ32" i="1" a="1"/>
  <c r="AQ41" i="1" a="1"/>
  <c r="C20" i="1" a="1"/>
  <c r="AX19" i="1" a="1"/>
  <c r="BF19" i="1" a="1"/>
  <c r="AS25" i="1" a="1"/>
  <c r="DJ20" i="1" a="1"/>
  <c r="AH46" i="1" a="1"/>
  <c r="CT23" i="1" a="1"/>
  <c r="Z25" i="1" a="1"/>
  <c r="CR23" i="1" a="1"/>
  <c r="U46" i="1" a="1"/>
  <c r="O19" i="1" a="1"/>
  <c r="V41" i="1" a="1"/>
  <c r="AP44" i="1" a="1"/>
  <c r="AI26" i="1" a="1"/>
  <c r="BP20" i="1" a="1"/>
  <c r="T42" i="1" a="1"/>
  <c r="BF41" i="1" a="1"/>
  <c r="BP21" i="1" a="1"/>
  <c r="AC43" i="1" a="1"/>
  <c r="BE46" i="1" a="1"/>
  <c r="AS38" i="1" a="1"/>
  <c r="W19" i="1" a="1"/>
  <c r="AV39" i="1" a="1"/>
  <c r="AN22" i="1" a="1"/>
  <c r="BC32" i="1" a="1"/>
  <c r="AG22" i="1" a="1"/>
  <c r="CN30" i="1" a="1"/>
  <c r="V23" i="1" a="1"/>
  <c r="AH22" i="1" a="1"/>
  <c r="AU29" i="1" a="1"/>
  <c r="F24" i="1" a="1"/>
  <c r="BF26" i="1" a="1"/>
  <c r="BI38" i="1" a="1"/>
  <c r="BE36" i="1" a="1"/>
  <c r="CE25" i="1" a="1"/>
  <c r="AE22" i="1" a="1"/>
  <c r="CX21" i="1" a="1"/>
  <c r="AP42" i="1" a="1"/>
  <c r="AP43" i="1" a="1"/>
  <c r="CG19" i="1" a="1"/>
  <c r="P24" i="1" a="1"/>
  <c r="BD36" i="1" a="1"/>
  <c r="BB41" i="1" a="1"/>
  <c r="CD30" i="1" a="1"/>
  <c r="BO31" i="1" a="1"/>
  <c r="DE25" i="1" a="1"/>
  <c r="BE45" i="1" a="1"/>
  <c r="AH20" i="1" a="1"/>
  <c r="BB21" i="1" a="1"/>
  <c r="CF29" i="1" a="1"/>
  <c r="AA23" i="1" a="1"/>
  <c r="O43" i="1" a="1"/>
  <c r="O31" i="1" a="1"/>
  <c r="AV40" i="1" a="1"/>
  <c r="BE24" i="1" a="1"/>
  <c r="AO26" i="1" a="1"/>
  <c r="S22" i="1" a="1"/>
  <c r="AG43" i="1" a="1"/>
  <c r="AM31" i="1" a="1"/>
  <c r="BC30" i="1" a="1"/>
  <c r="DH20" i="1" a="1"/>
  <c r="AO22" i="1" a="1"/>
  <c r="AB44" i="1" a="1"/>
  <c r="U19" i="1" a="1"/>
  <c r="BL31" i="1" a="1"/>
  <c r="BM26" i="1" a="1"/>
  <c r="CU29" i="1" a="1"/>
  <c r="CR30" i="1" a="1"/>
  <c r="BQ22" i="1" a="1"/>
  <c r="AA21" i="1" a="1"/>
  <c r="AX42" i="1" a="1"/>
  <c r="AP19" i="1" a="1"/>
  <c r="S41" i="1" a="1"/>
  <c r="BF21" i="1" a="1"/>
  <c r="BP19" i="1" a="1"/>
  <c r="DA29" i="1" a="1"/>
  <c r="BR23" i="1" a="1"/>
  <c r="CV19" i="1" a="1"/>
  <c r="CI23" i="1" a="1"/>
  <c r="BU30" i="1" a="1"/>
  <c r="CU19" i="1" a="1"/>
  <c r="CV21" i="1" a="1"/>
  <c r="BU20" i="1" a="1"/>
  <c r="I20" i="1" a="1"/>
  <c r="BF43" i="1" a="1"/>
  <c r="X30" i="1" a="1"/>
  <c r="AH30" i="1" a="1"/>
  <c r="W43" i="1" a="1"/>
  <c r="AN30" i="1" a="1"/>
  <c r="BU31" i="1" a="1"/>
  <c r="AS24" i="1" a="1"/>
  <c r="AF24" i="1" a="1"/>
  <c r="AV25" i="1" a="1"/>
  <c r="V45" i="1" a="1"/>
  <c r="BT29" i="1" a="1"/>
  <c r="BX30" i="1" a="1"/>
  <c r="BE40" i="1" a="1"/>
  <c r="AT39" i="1" a="1"/>
  <c r="DF32" i="1" a="1"/>
  <c r="U23" i="1" a="1"/>
  <c r="CO25" i="1" a="1"/>
  <c r="DE24" i="1" a="1"/>
  <c r="DA32" i="1" a="1"/>
  <c r="CI21" i="1" a="1"/>
  <c r="BE37" i="1" a="1"/>
  <c r="BU25" i="1" a="1"/>
  <c r="AE21" i="1" a="1"/>
  <c r="CZ31" i="1" a="1"/>
  <c r="BI22" i="1" a="1"/>
  <c r="CY24" i="1" a="1"/>
  <c r="DI26" i="1" a="1"/>
  <c r="G23" i="1" a="1"/>
  <c r="AV26" i="1" a="1"/>
  <c r="CA26" i="1" a="1"/>
  <c r="AT24" i="1" a="1"/>
  <c r="CO20" i="1" a="1"/>
  <c r="BH42" i="1" a="1"/>
  <c r="I22" i="1" a="1"/>
  <c r="AT42" i="1" a="1"/>
  <c r="I24" i="1" a="1"/>
  <c r="BD38" i="1" a="1"/>
  <c r="DI21" i="1" a="1"/>
  <c r="BN20" i="1" a="1"/>
  <c r="AF44" i="1" a="1"/>
  <c r="AQ19" i="1" a="1"/>
  <c r="AF21" i="1" a="1"/>
  <c r="AQ21" i="1" a="1"/>
  <c r="BH19" i="1" a="1"/>
  <c r="D21" i="1" a="1"/>
  <c r="X23" i="1" a="1"/>
  <c r="AP45" i="1" a="1"/>
  <c r="AH43" i="1" a="1"/>
  <c r="CR32" i="1" a="1"/>
  <c r="BE31" i="1" a="1"/>
  <c r="CD26" i="1" a="1"/>
  <c r="AW26" i="1" a="1"/>
  <c r="AJ31" i="1" a="1"/>
  <c r="AG25" i="1" a="1"/>
  <c r="AZ23" i="1" a="1"/>
  <c r="BJ43" i="1" a="1"/>
  <c r="DJ23" i="1" a="1"/>
  <c r="CL31" i="1" a="1"/>
  <c r="CE23" i="1" a="1"/>
  <c r="O20" i="1" a="1"/>
  <c r="CV31" i="1" a="1"/>
  <c r="T40" i="1" a="1"/>
  <c r="AO46" i="1" a="1"/>
  <c r="AO24" i="1" a="1"/>
  <c r="CU26" i="1" a="1"/>
  <c r="W26" i="1" a="1"/>
  <c r="DB31" i="1" a="1"/>
  <c r="T46" i="1" a="1"/>
  <c r="CF25" i="1" a="1"/>
  <c r="AR25" i="1" a="1"/>
  <c r="BH23" i="1" a="1"/>
  <c r="AE43" i="1" a="1"/>
  <c r="AT32" i="1" a="1"/>
  <c r="W37" i="1" a="1"/>
  <c r="BB32" i="1" a="1"/>
  <c r="BG29" i="1" a="1"/>
  <c r="BI19" i="1" a="1"/>
  <c r="AK46" i="1" a="1"/>
  <c r="CT19" i="1" a="1"/>
  <c r="DA20" i="1" a="1"/>
  <c r="W45" i="1" a="1"/>
  <c r="AY29" i="1" a="1"/>
  <c r="BR19" i="1" a="1"/>
  <c r="S38" i="1" a="1"/>
  <c r="W31" i="1" a="1"/>
  <c r="BG20" i="1" a="1"/>
  <c r="CA19" i="1" a="1"/>
  <c r="BB31" i="1" a="1"/>
  <c r="CX31" i="1" a="1"/>
  <c r="X24" i="1" a="1"/>
  <c r="AD46" i="1" a="1"/>
  <c r="X29" i="1" a="1"/>
  <c r="AW32" i="1" a="1"/>
  <c r="CV25" i="1" a="1"/>
  <c r="CK30" i="1" a="1"/>
  <c r="E23" i="1" a="1"/>
  <c r="S37" i="1" a="1"/>
  <c r="P26" i="1" a="1"/>
  <c r="DF30" i="1" a="1"/>
  <c r="AN25" i="1" a="1"/>
  <c r="X44" i="1" a="1"/>
  <c r="BY26" i="1" a="1"/>
  <c r="U41" i="1" a="1"/>
  <c r="CT29" i="1" a="1"/>
  <c r="AI39" i="1" a="1"/>
  <c r="AF42" i="1" a="1"/>
  <c r="C21" i="1" a="1"/>
  <c r="AT44" i="1" a="1"/>
  <c r="CE30" i="1" a="1"/>
  <c r="BL26" i="1" a="1"/>
  <c r="AI37" i="1" a="1"/>
  <c r="BY30" i="1" a="1"/>
  <c r="W21" i="1" a="1"/>
  <c r="BJ41" i="1" a="1"/>
  <c r="BW23" i="1" a="1"/>
  <c r="AI19" i="1" a="1"/>
  <c r="Q42" i="1" a="1"/>
  <c r="CN24" i="1" a="1"/>
  <c r="BT31" i="1" a="1"/>
  <c r="U38" i="1" a="1"/>
  <c r="AG26" i="1" a="1"/>
  <c r="BK26" i="1" a="1"/>
  <c r="AV30" i="1" a="1"/>
  <c r="V29" i="1" a="1"/>
  <c r="AH32" i="1" a="1"/>
  <c r="AF41" i="1" a="1"/>
  <c r="BC46" i="1" a="1"/>
  <c r="AX29" i="1" a="1"/>
  <c r="AZ26" i="1" a="1"/>
  <c r="AT43" i="1" a="1"/>
  <c r="DI25" i="1" a="1"/>
  <c r="Q44" i="1" a="1"/>
  <c r="AG21" i="1" a="1"/>
  <c r="BX29" i="1" a="1"/>
  <c r="BW31" i="1" a="1"/>
  <c r="DH30" i="1" a="1"/>
  <c r="S29" i="1" a="1"/>
  <c r="Z23" i="1" a="1"/>
  <c r="P39" i="1" a="1"/>
  <c r="CW23" i="1" a="1"/>
  <c r="CJ31" i="1" a="1"/>
  <c r="AZ24" i="1" a="1"/>
  <c r="BG46" i="1" a="1"/>
  <c r="BY23" i="1" a="1"/>
  <c r="AJ32" i="1" a="1"/>
  <c r="AK25" i="1" a="1"/>
  <c r="BG19" i="1" a="1"/>
  <c r="AR20" i="1" a="1"/>
  <c r="BC41" i="1" a="1"/>
  <c r="DD20" i="1" a="1"/>
  <c r="AY22" i="1" a="1"/>
  <c r="CY19" i="1" a="1"/>
  <c r="Q19" i="1" a="1"/>
  <c r="S23" i="1" a="1"/>
  <c r="R30" i="1" a="1"/>
  <c r="AE41" i="1" a="1"/>
  <c r="V40" i="1" a="1"/>
  <c r="BR30" i="1" a="1"/>
  <c r="AG41" i="1" a="1"/>
  <c r="BI41" i="1" a="1"/>
  <c r="AJ21" i="1" a="1"/>
  <c r="CC31" i="1" a="1"/>
  <c r="BB37" i="1" a="1"/>
  <c r="CX30" i="1" a="1"/>
  <c r="AQ39" i="1" a="1"/>
  <c r="AE24" i="1" a="1"/>
  <c r="BZ25" i="1" a="1"/>
  <c r="CY22" i="1" a="1"/>
  <c r="DL21" i="1" a="1"/>
  <c r="F20" i="1" a="1"/>
  <c r="E24" i="1" a="1"/>
  <c r="AI42" i="1" a="1"/>
  <c r="CL30" i="1" a="1"/>
  <c r="BJ42" i="1" a="1"/>
  <c r="AO31" i="1" a="1"/>
  <c r="BE32" i="1" a="1"/>
  <c r="BH20" i="1" a="1"/>
  <c r="CF23" i="1" a="1"/>
  <c r="AJ41" i="1" a="1"/>
  <c r="U45" i="1" a="1"/>
  <c r="BG21" i="1" a="1"/>
  <c r="S44" i="1" a="1"/>
  <c r="Y29" i="1" a="1"/>
  <c r="CC29" i="1" a="1"/>
  <c r="CP25" i="1" a="1"/>
  <c r="BS23" i="1" a="1"/>
  <c r="BI20" i="1" a="1"/>
  <c r="CK26" i="1" a="1"/>
  <c r="P46" i="1" a="1"/>
  <c r="AL21" i="1" a="1"/>
  <c r="CZ24" i="1" a="1"/>
  <c r="AD20" i="1" a="1"/>
  <c r="BF24" i="1" a="1"/>
  <c r="BW30" i="1" a="1"/>
  <c r="AJ23" i="1" a="1"/>
  <c r="AC39" i="1" a="1"/>
  <c r="Q46" i="1" a="1"/>
  <c r="CY20" i="1" a="1"/>
  <c r="AJ37" i="1" a="1"/>
  <c r="BI25" i="1" a="1"/>
  <c r="AA30" i="1" a="1"/>
  <c r="BR29" i="1" a="1"/>
  <c r="BE29" i="1" a="1"/>
  <c r="AI22" i="1" a="1"/>
  <c r="AF43" i="1" a="1"/>
  <c r="CN22" i="1" a="1"/>
  <c r="BG40" i="1" a="1"/>
  <c r="DJ21" i="1" a="1"/>
  <c r="CT26" i="1" a="1"/>
  <c r="O30" i="1" a="1"/>
  <c r="G20" i="1" a="1"/>
  <c r="BW29" i="1" a="1"/>
  <c r="H22" i="1" a="1"/>
  <c r="CB31" i="1" a="1"/>
  <c r="CG30" i="1" a="1"/>
  <c r="CK24" i="1" a="1"/>
  <c r="AU43" i="1" a="1"/>
  <c r="CS21" i="1" a="1"/>
  <c r="CC26" i="1" a="1"/>
  <c r="AA24" i="1" a="1"/>
  <c r="CC30" i="1" a="1"/>
  <c r="CB24" i="1" a="1"/>
  <c r="BC37" i="1" a="1"/>
  <c r="W41" i="1" a="1"/>
  <c r="DC20" i="1" a="1"/>
  <c r="CG24" i="1" a="1"/>
  <c r="S24" i="1" a="1"/>
  <c r="CR21" i="1" a="1"/>
  <c r="BQ23" i="1" a="1"/>
  <c r="CH19" i="1" a="1"/>
  <c r="CI19" i="1" a="1"/>
  <c r="AR42" i="1" a="1"/>
  <c r="AS21" i="1" a="1"/>
  <c r="D22" i="1" a="1"/>
  <c r="BO20" i="1" a="1"/>
  <c r="CT25" i="1" a="1"/>
  <c r="T38" i="1" a="1"/>
  <c r="AR31" i="1" a="1"/>
  <c r="CT22" i="1" a="1"/>
  <c r="BE41" i="1" a="1"/>
  <c r="CG29" i="1" a="1"/>
  <c r="AB37" i="1" a="1"/>
  <c r="BB36" i="1" a="1"/>
  <c r="BS20" i="1" a="1"/>
  <c r="CB29" i="1" a="1"/>
  <c r="AR22" i="1" a="1"/>
  <c r="BT20" i="1" a="1"/>
  <c r="CE19" i="1" a="1"/>
  <c r="DD29" i="1" a="1"/>
  <c r="AK30" i="1" a="1"/>
  <c r="AJ45" i="1" a="1"/>
  <c r="BN19" i="1" a="1"/>
  <c r="AF25" i="1" a="1"/>
  <c r="X45" i="1" a="1"/>
  <c r="AQ26" i="1" a="1"/>
  <c r="DG19" i="1" l="1"/>
  <c r="J24" i="1"/>
  <c r="BL20" i="1"/>
  <c r="Q19" i="1"/>
  <c r="C20" i="1"/>
  <c r="BH19" i="1"/>
  <c r="BH20" i="1"/>
  <c r="AI21" i="1"/>
  <c r="BC30" i="1"/>
  <c r="BM30" i="1"/>
  <c r="DC29" i="1"/>
  <c r="O32" i="1"/>
  <c r="AB30" i="1"/>
  <c r="BJ30" i="1"/>
  <c r="BL21" i="1"/>
  <c r="AT22" i="1"/>
  <c r="BA22" i="1"/>
  <c r="BL22" i="1"/>
  <c r="BD20" i="1"/>
  <c r="BR20" i="1"/>
  <c r="AM21" i="1"/>
  <c r="BX30" i="1"/>
  <c r="AD30" i="1"/>
  <c r="BP30" i="1"/>
  <c r="W29" i="1"/>
  <c r="O29" i="1"/>
  <c r="CQ21" i="1"/>
  <c r="AK20" i="1"/>
  <c r="CS20" i="1"/>
  <c r="DB19" i="1"/>
  <c r="AQ22" i="1"/>
  <c r="BZ19" i="1"/>
  <c r="CG22" i="1"/>
  <c r="AE32" i="1"/>
  <c r="BR29" i="1"/>
  <c r="AM29" i="1"/>
  <c r="AW29" i="1"/>
  <c r="CB30" i="1"/>
  <c r="BW31" i="1"/>
  <c r="AL22" i="1"/>
  <c r="AO19" i="1"/>
  <c r="BZ22" i="1"/>
  <c r="DG22" i="1"/>
  <c r="CZ22" i="1"/>
  <c r="AF19" i="1"/>
  <c r="AF32" i="1"/>
  <c r="AN30" i="1"/>
  <c r="BJ32" i="1"/>
  <c r="CJ32" i="1"/>
  <c r="DG31" i="1"/>
  <c r="CB32" i="1"/>
  <c r="CV22" i="1"/>
  <c r="BF22" i="1"/>
  <c r="DJ19" i="1"/>
  <c r="DH19" i="1"/>
  <c r="R21" i="1"/>
  <c r="V22" i="1"/>
  <c r="BM19" i="1"/>
  <c r="DC32" i="1"/>
  <c r="AH31" i="1"/>
  <c r="BK29" i="1"/>
  <c r="BA32" i="1"/>
  <c r="AV31" i="1"/>
  <c r="CZ31" i="1"/>
  <c r="AR20" i="1"/>
  <c r="CU21" i="1"/>
  <c r="CE19" i="1"/>
  <c r="AV20" i="1"/>
  <c r="BN21" i="1"/>
  <c r="Y20" i="1"/>
  <c r="CV21" i="1"/>
  <c r="BZ31" i="1"/>
  <c r="DF30" i="1"/>
  <c r="AR29" i="1"/>
  <c r="BG32" i="1"/>
  <c r="AN31" i="1"/>
  <c r="CW30" i="1"/>
  <c r="U20" i="1"/>
  <c r="T19" i="1"/>
  <c r="H20" i="1"/>
  <c r="BS19" i="1"/>
  <c r="X21" i="1"/>
  <c r="BB21" i="1"/>
  <c r="BS22" i="1"/>
  <c r="AE19" i="1"/>
  <c r="DJ32" i="1"/>
  <c r="BY30" i="1"/>
  <c r="P31" i="1"/>
  <c r="AC31" i="1"/>
  <c r="U30" i="1"/>
  <c r="AD20" i="1"/>
  <c r="AG22" i="1"/>
  <c r="AP22" i="1"/>
  <c r="DH21" i="1"/>
  <c r="AM22" i="1"/>
  <c r="BW20" i="1"/>
  <c r="CN21" i="1"/>
  <c r="BH22" i="1"/>
  <c r="CY32" i="1"/>
  <c r="BF31" i="1"/>
  <c r="AQ29" i="1"/>
  <c r="AL30" i="1"/>
  <c r="CY31" i="1"/>
  <c r="DH30" i="1"/>
  <c r="BF19" i="1"/>
  <c r="AZ22" i="1"/>
  <c r="AI22" i="1"/>
  <c r="AB19" i="1"/>
  <c r="BR19" i="1"/>
  <c r="AH19" i="1"/>
  <c r="AC32" i="1"/>
  <c r="R29" i="1"/>
  <c r="BC29" i="1"/>
  <c r="AJ32" i="1"/>
  <c r="CL32" i="1"/>
  <c r="DI30" i="1"/>
  <c r="CC19" i="1"/>
  <c r="AI20" i="1"/>
  <c r="CR22" i="1"/>
  <c r="CV20" i="1"/>
  <c r="G19" i="1"/>
  <c r="BT21" i="1"/>
  <c r="AG21" i="1"/>
  <c r="BP31" i="1"/>
  <c r="AM30" i="1"/>
  <c r="BD29" i="1"/>
  <c r="AK30" i="1"/>
  <c r="BQ19" i="1"/>
  <c r="U21" i="1"/>
  <c r="V21" i="1"/>
  <c r="O22" i="1"/>
  <c r="CS21" i="1"/>
  <c r="V19" i="1"/>
  <c r="U22" i="1"/>
  <c r="CM32" i="1"/>
  <c r="BE31" i="1"/>
  <c r="CY29" i="1"/>
  <c r="CP32" i="1"/>
  <c r="CW31" i="1"/>
  <c r="CK29" i="1"/>
  <c r="P29" i="1"/>
  <c r="W31" i="1"/>
  <c r="DG32" i="1"/>
  <c r="AF30" i="1"/>
  <c r="I23" i="1"/>
  <c r="BD19" i="1"/>
  <c r="CD21" i="1"/>
  <c r="BI20" i="1"/>
  <c r="BB20" i="1"/>
  <c r="CX21" i="1"/>
  <c r="BX20" i="1"/>
  <c r="AG20" i="1"/>
  <c r="AX20" i="1"/>
  <c r="AV22" i="1"/>
  <c r="CL21" i="1"/>
  <c r="O20" i="1"/>
  <c r="BM21" i="1"/>
  <c r="DA20" i="1"/>
  <c r="AG29" i="1"/>
  <c r="T29" i="1"/>
  <c r="AQ30" i="1"/>
  <c r="CQ32" i="1"/>
  <c r="AP32" i="1"/>
  <c r="AU29" i="1"/>
  <c r="P30" i="1"/>
  <c r="AU30" i="1"/>
  <c r="CI31" i="1"/>
  <c r="DG30" i="1"/>
  <c r="BP20" i="1"/>
  <c r="BG21" i="1"/>
  <c r="CH20" i="1"/>
  <c r="CP21" i="1"/>
  <c r="BI21" i="1"/>
  <c r="V20" i="1"/>
  <c r="CK20" i="1"/>
  <c r="AN20" i="1"/>
  <c r="Q22" i="1"/>
  <c r="BM22" i="1"/>
  <c r="BO21" i="1"/>
  <c r="BK21" i="1"/>
  <c r="AC21" i="1"/>
  <c r="H24" i="1"/>
  <c r="BT32" i="1"/>
  <c r="DI29" i="1"/>
  <c r="BR31" i="1"/>
  <c r="CX31" i="1"/>
  <c r="CI32" i="1"/>
  <c r="BI31" i="1"/>
  <c r="CU29" i="1"/>
  <c r="CU31" i="1"/>
  <c r="CZ29" i="1"/>
  <c r="BG31" i="1"/>
  <c r="AL21" i="1"/>
  <c r="CA19" i="1"/>
  <c r="CI22" i="1"/>
  <c r="CI21" i="1"/>
  <c r="Q21" i="1"/>
  <c r="BQ31" i="1"/>
  <c r="CB29" i="1"/>
  <c r="T30" i="1"/>
  <c r="AL31" i="1"/>
  <c r="BK30" i="1"/>
  <c r="CT21" i="1"/>
  <c r="DF19" i="1"/>
  <c r="AU21" i="1"/>
  <c r="CB22" i="1"/>
  <c r="AZ20" i="1"/>
  <c r="BF20" i="1"/>
  <c r="CR32" i="1"/>
  <c r="CW29" i="1"/>
  <c r="BG29" i="1"/>
  <c r="BO31" i="1"/>
  <c r="AB32" i="1"/>
  <c r="T32" i="1"/>
  <c r="BO19" i="1"/>
  <c r="CB20" i="1"/>
  <c r="CT20" i="1"/>
  <c r="R22" i="1"/>
  <c r="DI22" i="1"/>
  <c r="D19" i="1"/>
  <c r="BN32" i="1"/>
  <c r="U32" i="1"/>
  <c r="AR31" i="1"/>
  <c r="DH32" i="1"/>
  <c r="AG31" i="1"/>
  <c r="CK21" i="1"/>
  <c r="BU19" i="1"/>
  <c r="AX19" i="1"/>
  <c r="X22" i="1"/>
  <c r="AS22" i="1"/>
  <c r="DJ21" i="1"/>
  <c r="DD20" i="1"/>
  <c r="CH32" i="1"/>
  <c r="CQ31" i="1"/>
  <c r="CN32" i="1"/>
  <c r="Y32" i="1"/>
  <c r="CF30" i="1"/>
  <c r="CK22" i="1"/>
  <c r="CQ22" i="1"/>
  <c r="P22" i="1"/>
  <c r="CW20" i="1"/>
  <c r="CD19" i="1"/>
  <c r="Y21" i="1"/>
  <c r="AI32" i="1"/>
  <c r="AP30" i="1"/>
  <c r="AI29" i="1"/>
  <c r="AQ32" i="1"/>
  <c r="CV30" i="1"/>
  <c r="E24" i="1"/>
  <c r="BH21" i="1"/>
  <c r="CL19" i="1"/>
  <c r="CT19" i="1"/>
  <c r="CF20" i="1"/>
  <c r="BA19" i="1"/>
  <c r="AB22" i="1"/>
  <c r="AK32" i="1"/>
  <c r="BF30" i="1"/>
  <c r="CN29" i="1"/>
  <c r="Y31" i="1"/>
  <c r="BC22" i="1"/>
  <c r="W21" i="1"/>
  <c r="AC20" i="1"/>
  <c r="H21" i="1"/>
  <c r="CM21" i="1"/>
  <c r="BB22" i="1"/>
  <c r="AZ32" i="1"/>
  <c r="CV31" i="1"/>
  <c r="BU29" i="1"/>
  <c r="CO29" i="1"/>
  <c r="R32" i="1"/>
  <c r="CV19" i="1"/>
  <c r="DE19" i="1"/>
  <c r="W22" i="1"/>
  <c r="DG20" i="1"/>
  <c r="DI19" i="1"/>
  <c r="CB19" i="1"/>
  <c r="CC30" i="1"/>
  <c r="AS32" i="1"/>
  <c r="CT30" i="1"/>
  <c r="AD29" i="1"/>
  <c r="BK19" i="1"/>
  <c r="BC19" i="1"/>
  <c r="BT22" i="1"/>
  <c r="BJ21" i="1"/>
  <c r="AB21" i="1"/>
  <c r="AL19" i="1"/>
  <c r="AY21" i="1"/>
  <c r="CY20" i="1"/>
  <c r="V31" i="1"/>
  <c r="AB29" i="1"/>
  <c r="BS29" i="1"/>
  <c r="CV29" i="1"/>
  <c r="AG19" i="1"/>
  <c r="AF22" i="1"/>
  <c r="CN20" i="1"/>
  <c r="AF21" i="1"/>
  <c r="BD22" i="1"/>
  <c r="BJ19" i="1"/>
  <c r="CY21" i="1"/>
  <c r="AQ31" i="1"/>
  <c r="CI30" i="1"/>
  <c r="AT29" i="1"/>
  <c r="AV32" i="1"/>
  <c r="AV29" i="1"/>
  <c r="AT30" i="1"/>
  <c r="BO22" i="1"/>
  <c r="I21" i="1"/>
  <c r="AO21" i="1"/>
  <c r="AX22" i="1"/>
  <c r="BY20" i="1"/>
  <c r="CF19" i="1"/>
  <c r="AZ19" i="1"/>
  <c r="BU22" i="1"/>
  <c r="AS21" i="1"/>
  <c r="BY19" i="1"/>
  <c r="AN22" i="1"/>
  <c r="CA21" i="1"/>
  <c r="CB21" i="1"/>
  <c r="W19" i="1"/>
  <c r="E21" i="1"/>
  <c r="C24" i="1"/>
  <c r="BE22" i="1"/>
  <c r="E19" i="1"/>
  <c r="X20" i="1"/>
  <c r="AN19" i="1"/>
  <c r="DE29" i="1"/>
  <c r="CD32" i="1"/>
  <c r="CO32" i="1"/>
  <c r="BH30" i="1"/>
  <c r="U31" i="1"/>
  <c r="CP29" i="1"/>
  <c r="AX32" i="1"/>
  <c r="AA31" i="1"/>
  <c r="DF31" i="1"/>
  <c r="AA32" i="1"/>
  <c r="CC31" i="1"/>
  <c r="J22" i="1"/>
  <c r="G23" i="1"/>
  <c r="BC20" i="1"/>
  <c r="DA22" i="1"/>
  <c r="O21" i="1"/>
  <c r="CW21" i="1"/>
  <c r="DC19" i="1"/>
  <c r="AO22" i="1"/>
  <c r="AT21" i="1"/>
  <c r="I24" i="1"/>
  <c r="CE20" i="1"/>
  <c r="BE21" i="1"/>
  <c r="CS22" i="1"/>
  <c r="AH30" i="1"/>
  <c r="DB30" i="1"/>
  <c r="CM29" i="1"/>
  <c r="CN30" i="1"/>
  <c r="BU30" i="1"/>
  <c r="BB32" i="1"/>
  <c r="DE32" i="1"/>
  <c r="CW32" i="1"/>
  <c r="AS30" i="1"/>
  <c r="CA31" i="1"/>
  <c r="O31" i="1"/>
  <c r="DA19" i="1"/>
  <c r="DL21" i="1"/>
  <c r="DM21" i="1" s="1"/>
  <c r="AJ19" i="1"/>
  <c r="CI19" i="1"/>
  <c r="AJ20" i="1"/>
  <c r="AA21" i="1"/>
  <c r="CO22" i="1"/>
  <c r="BF21" i="1"/>
  <c r="DI21" i="1"/>
  <c r="CX19" i="1"/>
  <c r="DE20" i="1"/>
  <c r="CL22" i="1"/>
  <c r="DH22" i="1"/>
  <c r="CG31" i="1"/>
  <c r="AT32" i="1"/>
  <c r="Z30" i="1"/>
  <c r="DB31" i="1"/>
  <c r="AZ31" i="1"/>
  <c r="BM32" i="1"/>
  <c r="Z29" i="1"/>
  <c r="CE31" i="1"/>
  <c r="AJ31" i="1"/>
  <c r="CI29" i="1"/>
  <c r="AK31" i="1"/>
  <c r="BT19" i="1"/>
  <c r="BW30" i="1"/>
  <c r="DJ30" i="1"/>
  <c r="BX32" i="1"/>
  <c r="W32" i="1"/>
  <c r="BY32" i="1"/>
  <c r="Q31" i="1"/>
  <c r="S32" i="1"/>
  <c r="BA20" i="1"/>
  <c r="J23" i="1"/>
  <c r="DH20" i="1"/>
  <c r="P19" i="1"/>
  <c r="CR20" i="1"/>
  <c r="BX19" i="1"/>
  <c r="BV19" i="1"/>
  <c r="CD22" i="1"/>
  <c r="AU22" i="1"/>
  <c r="BF32" i="1"/>
  <c r="DI32" i="1"/>
  <c r="DI31" i="1"/>
  <c r="DD29" i="1"/>
  <c r="DJ31" i="1"/>
  <c r="DA30" i="1"/>
  <c r="BK32" i="1"/>
  <c r="DE21" i="1"/>
  <c r="CP22" i="1"/>
  <c r="C22" i="1"/>
  <c r="BY22" i="1"/>
  <c r="AQ19" i="1"/>
  <c r="F20" i="1"/>
  <c r="C19" i="1"/>
  <c r="CZ21" i="1"/>
  <c r="AP21" i="1"/>
  <c r="CR21" i="1"/>
  <c r="BP19" i="1"/>
  <c r="AZ21" i="1"/>
  <c r="AH22" i="1"/>
  <c r="BN31" i="1"/>
  <c r="S29" i="1"/>
  <c r="Z32" i="1"/>
  <c r="CR30" i="1"/>
  <c r="DD30" i="1"/>
  <c r="DB29" i="1"/>
  <c r="BP29" i="1"/>
  <c r="BB29" i="1"/>
  <c r="BW29" i="1"/>
  <c r="DB32" i="1"/>
  <c r="AY31" i="1"/>
  <c r="AS31" i="1"/>
  <c r="CF32" i="1"/>
  <c r="CN31" i="1"/>
  <c r="CQ30" i="1"/>
  <c r="D21" i="1"/>
  <c r="AH32" i="1"/>
  <c r="AT31" i="1"/>
  <c r="BE29" i="1"/>
  <c r="S31" i="1"/>
  <c r="CM31" i="1"/>
  <c r="AO31" i="1"/>
  <c r="BI32" i="1"/>
  <c r="CP20" i="1"/>
  <c r="BV20" i="1"/>
  <c r="C23" i="1"/>
  <c r="S21" i="1"/>
  <c r="CW19" i="1"/>
  <c r="BQ20" i="1"/>
  <c r="AU20" i="1"/>
  <c r="BO30" i="1"/>
  <c r="DF32" i="1"/>
  <c r="BR30" i="1"/>
  <c r="BZ30" i="1"/>
  <c r="CJ30" i="1"/>
  <c r="X31" i="1"/>
  <c r="AP29" i="1"/>
  <c r="BB31" i="1"/>
  <c r="CZ19" i="1"/>
  <c r="AL20" i="1"/>
  <c r="CC22" i="1"/>
  <c r="CU22" i="1"/>
  <c r="CU19" i="1"/>
  <c r="BN19" i="1"/>
  <c r="BD21" i="1"/>
  <c r="AM19" i="1"/>
  <c r="BX22" i="1"/>
  <c r="CG19" i="1"/>
  <c r="AI19" i="1"/>
  <c r="F19" i="1"/>
  <c r="AO20" i="1"/>
  <c r="CZ20" i="1"/>
  <c r="CW22" i="1"/>
  <c r="W20" i="1"/>
  <c r="AT20" i="1"/>
  <c r="R20" i="1"/>
  <c r="AW21" i="1"/>
  <c r="AH29" i="1"/>
  <c r="Q29" i="1"/>
  <c r="AO32" i="1"/>
  <c r="BN29" i="1"/>
  <c r="AE29" i="1"/>
  <c r="CC29" i="1"/>
  <c r="AY30" i="1"/>
  <c r="BH32" i="1"/>
  <c r="V29" i="1"/>
  <c r="AD31" i="1"/>
  <c r="CO30" i="1"/>
  <c r="AN32" i="1"/>
  <c r="BD32" i="1"/>
  <c r="AA30" i="1"/>
  <c r="AM32" i="1"/>
  <c r="BN22" i="1"/>
  <c r="AY22" i="1"/>
  <c r="AW20" i="1"/>
  <c r="BG22" i="1"/>
  <c r="AS19" i="1"/>
  <c r="BN20" i="1"/>
  <c r="G20" i="1"/>
  <c r="X19" i="1"/>
  <c r="BP21" i="1"/>
  <c r="BY21" i="1"/>
  <c r="DJ22" i="1"/>
  <c r="DD19" i="1"/>
  <c r="E22" i="1"/>
  <c r="D22" i="1"/>
  <c r="DF22" i="1"/>
  <c r="AH21" i="1"/>
  <c r="AJ22" i="1"/>
  <c r="BO20" i="1"/>
  <c r="CF21" i="1"/>
  <c r="AR21" i="1"/>
  <c r="CT22" i="1"/>
  <c r="CH31" i="1"/>
  <c r="CJ31" i="1"/>
  <c r="CP31" i="1"/>
  <c r="BT29" i="1"/>
  <c r="X32" i="1"/>
  <c r="CO31" i="1"/>
  <c r="CG32" i="1"/>
  <c r="DA29" i="1"/>
  <c r="BE30" i="1"/>
  <c r="BZ29" i="1"/>
  <c r="BX29" i="1"/>
  <c r="Q30" i="1"/>
  <c r="BQ29" i="1"/>
  <c r="BN30" i="1"/>
  <c r="AP31" i="1"/>
  <c r="CR31" i="1"/>
  <c r="CS31" i="1"/>
  <c r="BL32" i="1"/>
  <c r="I19" i="1"/>
  <c r="AE22" i="1"/>
  <c r="DL19" i="1"/>
  <c r="DM19" i="1" s="1"/>
  <c r="AR22" i="1"/>
  <c r="F22" i="1"/>
  <c r="AU19" i="1"/>
  <c r="CA20" i="1"/>
  <c r="DG21" i="1"/>
  <c r="AA19" i="1"/>
  <c r="AY20" i="1"/>
  <c r="T20" i="1"/>
  <c r="AD22" i="1"/>
  <c r="CY19" i="1"/>
  <c r="BE20" i="1"/>
  <c r="DD22" i="1"/>
  <c r="D20" i="1"/>
  <c r="DB20" i="1"/>
  <c r="CJ22" i="1"/>
  <c r="J19" i="1"/>
  <c r="F21" i="1"/>
  <c r="D23" i="1"/>
  <c r="BE19" i="1"/>
  <c r="BY29" i="1"/>
  <c r="AR30" i="1"/>
  <c r="AB31" i="1"/>
  <c r="DF29" i="1"/>
  <c r="AE30" i="1"/>
  <c r="AZ30" i="1"/>
  <c r="CH29" i="1"/>
  <c r="AW32" i="1"/>
  <c r="BV32" i="1"/>
  <c r="V30" i="1"/>
  <c r="CC32" i="1"/>
  <c r="AW31" i="1"/>
  <c r="DE31" i="1"/>
  <c r="BZ32" i="1"/>
  <c r="CS32" i="1"/>
  <c r="AF31" i="1"/>
  <c r="BK31" i="1"/>
  <c r="AN29" i="1"/>
  <c r="CO20" i="1"/>
  <c r="H22" i="1"/>
  <c r="CJ20" i="1"/>
  <c r="AF20" i="1"/>
  <c r="CG20" i="1"/>
  <c r="BQ22" i="1"/>
  <c r="BJ20" i="1"/>
  <c r="Y22" i="1"/>
  <c r="E20" i="1"/>
  <c r="DD21" i="1"/>
  <c r="CE22" i="1"/>
  <c r="G22" i="1"/>
  <c r="BB19" i="1"/>
  <c r="BW19" i="1"/>
  <c r="BU21" i="1"/>
  <c r="CD20" i="1"/>
  <c r="CM19" i="1"/>
  <c r="Y19" i="1"/>
  <c r="AQ21" i="1"/>
  <c r="S22" i="1"/>
  <c r="R19" i="1"/>
  <c r="CS19" i="1"/>
  <c r="BJ22" i="1"/>
  <c r="U29" i="1"/>
  <c r="BS31" i="1"/>
  <c r="CM30" i="1"/>
  <c r="CT31" i="1"/>
  <c r="CJ29" i="1"/>
  <c r="CK31" i="1"/>
  <c r="AI30" i="1"/>
  <c r="T31" i="1"/>
  <c r="CT32" i="1"/>
  <c r="CZ32" i="1"/>
  <c r="AS29" i="1"/>
  <c r="CS30" i="1"/>
  <c r="CX32" i="1"/>
  <c r="AG30" i="1"/>
  <c r="O30" i="1"/>
  <c r="BR32" i="1"/>
  <c r="CK32" i="1"/>
  <c r="BM29" i="1"/>
  <c r="S20" i="1"/>
  <c r="Q20" i="1"/>
  <c r="J21" i="1"/>
  <c r="BA21" i="1"/>
  <c r="D24" i="1"/>
  <c r="DC20" i="1"/>
  <c r="CL20" i="1"/>
  <c r="CH22" i="1"/>
  <c r="CC20" i="1"/>
  <c r="AK21" i="1"/>
  <c r="BT20" i="1"/>
  <c r="CQ20" i="1"/>
  <c r="BZ21" i="1"/>
  <c r="BG20" i="1"/>
  <c r="CU20" i="1"/>
  <c r="CG21" i="1"/>
  <c r="AV21" i="1"/>
  <c r="DF20" i="1"/>
  <c r="H19" i="1"/>
  <c r="CH21" i="1"/>
  <c r="F24" i="1"/>
  <c r="CM20" i="1"/>
  <c r="BO29" i="1"/>
  <c r="CE30" i="1"/>
  <c r="CK30" i="1"/>
  <c r="AC30" i="1"/>
  <c r="AU31" i="1"/>
  <c r="CA30" i="1"/>
  <c r="AI31" i="1"/>
  <c r="CP30" i="1"/>
  <c r="V32" i="1"/>
  <c r="BP32" i="1"/>
  <c r="BH29" i="1"/>
  <c r="CV32" i="1"/>
  <c r="CQ29" i="1"/>
  <c r="CA29" i="1"/>
  <c r="AJ30" i="1"/>
  <c r="BM31" i="1"/>
  <c r="BJ31" i="1"/>
  <c r="CF31" i="1"/>
  <c r="AU32" i="1"/>
  <c r="AE21" i="1"/>
  <c r="Z20" i="1"/>
  <c r="BR22" i="1"/>
  <c r="AB20" i="1"/>
  <c r="BM20" i="1"/>
  <c r="AM20" i="1"/>
  <c r="DA21" i="1"/>
  <c r="DC22" i="1"/>
  <c r="C21" i="1"/>
  <c r="CH19" i="1"/>
  <c r="T21" i="1"/>
  <c r="AW22" i="1"/>
  <c r="DC21" i="1"/>
  <c r="BC21" i="1"/>
  <c r="CX22" i="1"/>
  <c r="AC19" i="1"/>
  <c r="DB21" i="1"/>
  <c r="AK19" i="1"/>
  <c r="S19" i="1"/>
  <c r="AH20" i="1"/>
  <c r="I20" i="1"/>
  <c r="DA32" i="1"/>
  <c r="BF29" i="1"/>
  <c r="DH31" i="1"/>
  <c r="CR29" i="1"/>
  <c r="BI29" i="1"/>
  <c r="CB31" i="1"/>
  <c r="BG30" i="1"/>
  <c r="BU32" i="1"/>
  <c r="AE31" i="1"/>
  <c r="DD31" i="1"/>
  <c r="CT29" i="1"/>
  <c r="X29" i="1"/>
  <c r="CS29" i="1"/>
  <c r="CU32" i="1"/>
  <c r="CE32" i="1"/>
  <c r="DG29" i="1"/>
  <c r="CD30" i="1"/>
  <c r="CD31" i="1"/>
  <c r="AD32" i="1"/>
  <c r="AY29" i="1"/>
  <c r="AR32" i="1"/>
  <c r="AX29" i="1"/>
  <c r="AO29" i="1"/>
  <c r="BI30" i="1"/>
  <c r="AC29" i="1"/>
  <c r="AR19" i="1"/>
  <c r="P20" i="1"/>
  <c r="BG19" i="1"/>
  <c r="CF22" i="1"/>
  <c r="BK20" i="1"/>
  <c r="AK22" i="1"/>
  <c r="T22" i="1"/>
  <c r="J20" i="1"/>
  <c r="AA20" i="1"/>
  <c r="G24" i="1"/>
  <c r="CC21" i="1"/>
  <c r="BV21" i="1"/>
  <c r="BI22" i="1"/>
  <c r="AJ21" i="1"/>
  <c r="Z19" i="1"/>
  <c r="CO21" i="1"/>
  <c r="AP20" i="1"/>
  <c r="BW21" i="1"/>
  <c r="BP22" i="1"/>
  <c r="AS20" i="1"/>
  <c r="CK19" i="1"/>
  <c r="AD21" i="1"/>
  <c r="CJ21" i="1"/>
  <c r="CM22" i="1"/>
  <c r="BL19" i="1"/>
  <c r="DI20" i="1"/>
  <c r="BX21" i="1"/>
  <c r="CN19" i="1"/>
  <c r="DC31" i="1"/>
  <c r="DJ29" i="1"/>
  <c r="BQ32" i="1"/>
  <c r="CY30" i="1"/>
  <c r="BT31" i="1"/>
  <c r="DE30" i="1"/>
  <c r="DD32" i="1"/>
  <c r="AA29" i="1"/>
  <c r="CU30" i="1"/>
  <c r="BS32" i="1"/>
  <c r="CE29" i="1"/>
  <c r="DA31" i="1"/>
  <c r="CG30" i="1"/>
  <c r="BA29" i="1"/>
  <c r="BV31" i="1"/>
  <c r="R30" i="1"/>
  <c r="CL30" i="1"/>
  <c r="BL29" i="1"/>
  <c r="BD31" i="1"/>
  <c r="AV30" i="1"/>
  <c r="BE32" i="1"/>
  <c r="AL32" i="1"/>
  <c r="CF29" i="1"/>
  <c r="CL31" i="1"/>
  <c r="AL29" i="1"/>
  <c r="H23" i="1"/>
  <c r="CI20" i="1"/>
  <c r="AA22" i="1"/>
  <c r="BS20" i="1"/>
  <c r="BZ20" i="1"/>
  <c r="BR21" i="1"/>
  <c r="CJ19" i="1"/>
  <c r="CR19" i="1"/>
  <c r="CX20" i="1"/>
  <c r="AE20" i="1"/>
  <c r="DB22" i="1"/>
  <c r="BK22" i="1"/>
  <c r="I22" i="1"/>
  <c r="AV19" i="1"/>
  <c r="DE22" i="1"/>
  <c r="BS21" i="1"/>
  <c r="F23" i="1"/>
  <c r="CA22" i="1"/>
  <c r="CA32" i="1"/>
  <c r="CG29" i="1"/>
  <c r="Y30" i="1"/>
  <c r="BO32" i="1"/>
  <c r="Z31" i="1"/>
  <c r="BC31" i="1"/>
  <c r="X30" i="1"/>
  <c r="BA31" i="1"/>
  <c r="CZ30" i="1"/>
  <c r="BL31" i="1"/>
  <c r="AG32" i="1"/>
  <c r="Y29" i="1"/>
  <c r="CX29" i="1"/>
  <c r="BC32" i="1"/>
  <c r="W30" i="1"/>
  <c r="BQ30" i="1"/>
  <c r="AY32" i="1"/>
  <c r="R31" i="1"/>
  <c r="BY31" i="1"/>
  <c r="BD30" i="1"/>
  <c r="CD29" i="1"/>
  <c r="BV29" i="1"/>
  <c r="AX31" i="1"/>
  <c r="BX31" i="1"/>
  <c r="AM31" i="1"/>
  <c r="E23" i="1"/>
  <c r="Z22" i="1"/>
  <c r="AW19" i="1"/>
  <c r="AX21" i="1"/>
  <c r="G21" i="1"/>
  <c r="BU20" i="1"/>
  <c r="BI19" i="1"/>
  <c r="AC22" i="1"/>
  <c r="AN21" i="1"/>
  <c r="DF21" i="1"/>
  <c r="AP19" i="1"/>
  <c r="U19" i="1"/>
  <c r="BW22" i="1"/>
  <c r="CO19" i="1"/>
  <c r="CN22" i="1"/>
  <c r="AY19" i="1"/>
  <c r="CQ19" i="1"/>
  <c r="AD19" i="1"/>
  <c r="P21" i="1"/>
  <c r="CY22" i="1"/>
  <c r="AQ20" i="1"/>
  <c r="Z21" i="1"/>
  <c r="DJ20" i="1"/>
  <c r="CE21" i="1"/>
  <c r="CP19" i="1"/>
  <c r="BQ21" i="1"/>
  <c r="BV22" i="1"/>
  <c r="AT19" i="1"/>
  <c r="DH29" i="1"/>
  <c r="BT30" i="1"/>
  <c r="AZ29" i="1"/>
  <c r="AX30" i="1"/>
  <c r="BJ29" i="1"/>
  <c r="DC30" i="1"/>
  <c r="AF29" i="1"/>
  <c r="AK29" i="1"/>
  <c r="CH30" i="1"/>
  <c r="BV30" i="1"/>
  <c r="BH31" i="1"/>
  <c r="CL29" i="1"/>
  <c r="BA30" i="1"/>
  <c r="BS30" i="1"/>
  <c r="P32" i="1"/>
  <c r="BL30" i="1"/>
  <c r="BB30" i="1"/>
  <c r="AJ29" i="1"/>
  <c r="CX30" i="1"/>
  <c r="AO30" i="1"/>
  <c r="S30" i="1"/>
  <c r="AW30" i="1"/>
  <c r="BU31" i="1"/>
  <c r="Q32" i="1"/>
  <c r="BW32" i="1"/>
  <c r="BQ23" i="1"/>
  <c r="AQ37" i="1"/>
  <c r="CN25" i="1"/>
  <c r="BG25" i="1"/>
  <c r="BD23" i="1"/>
  <c r="AI38" i="1"/>
  <c r="Q41" i="1"/>
  <c r="BF43" i="1"/>
  <c r="AP40" i="1"/>
  <c r="BI24" i="1"/>
  <c r="BQ25" i="1"/>
  <c r="AI40" i="1"/>
  <c r="BH46" i="1"/>
  <c r="BH24" i="1"/>
  <c r="BR26" i="1"/>
  <c r="AK44" i="1"/>
  <c r="BB40" i="1"/>
  <c r="AG26" i="1"/>
  <c r="R37" i="1"/>
  <c r="S26" i="1"/>
  <c r="BG44" i="1"/>
  <c r="DG26" i="1"/>
  <c r="AD38" i="1"/>
  <c r="P37" i="1"/>
  <c r="AU37" i="1"/>
  <c r="BE43" i="1"/>
  <c r="Q40" i="1"/>
  <c r="BJ24" i="1"/>
  <c r="U46" i="1"/>
  <c r="BH23" i="1"/>
  <c r="BC23" i="1"/>
  <c r="V37" i="1"/>
  <c r="BS23" i="1"/>
  <c r="CU26" i="1"/>
  <c r="CP23" i="1"/>
  <c r="BH25" i="1"/>
  <c r="AS45" i="1"/>
  <c r="BE23" i="1"/>
  <c r="BE42" i="1"/>
  <c r="BF42" i="1"/>
  <c r="AH46" i="1"/>
  <c r="BE41" i="1"/>
  <c r="AU24" i="1"/>
  <c r="AF23" i="1"/>
  <c r="AW46" i="1"/>
  <c r="T24" i="1"/>
  <c r="AH39" i="1"/>
  <c r="BJ37" i="1"/>
  <c r="T40" i="1"/>
  <c r="CM25" i="1"/>
  <c r="V46" i="1"/>
  <c r="BB25" i="1"/>
  <c r="AJ40" i="1"/>
  <c r="AL23" i="1"/>
  <c r="AQ40" i="1"/>
  <c r="AK23" i="1"/>
  <c r="CB25" i="1"/>
  <c r="BK46" i="1"/>
  <c r="BC44" i="1"/>
  <c r="AR38" i="1"/>
  <c r="AZ26" i="1"/>
  <c r="CI23" i="1"/>
  <c r="BB23" i="1"/>
  <c r="DD25" i="1"/>
  <c r="AS37" i="1"/>
  <c r="BC25" i="1"/>
  <c r="R44" i="1"/>
  <c r="X26" i="1"/>
  <c r="O25" i="1"/>
  <c r="AA24" i="1"/>
  <c r="V40" i="1"/>
  <c r="BG45" i="1"/>
  <c r="AY26" i="1"/>
  <c r="U38" i="1"/>
  <c r="AW24" i="1"/>
  <c r="CD26" i="1"/>
  <c r="P38" i="1"/>
  <c r="T26" i="1"/>
  <c r="AU42" i="1"/>
  <c r="DI25" i="1"/>
  <c r="W46" i="1"/>
  <c r="BC37" i="1"/>
  <c r="AH45" i="1"/>
  <c r="AT39" i="1"/>
  <c r="AO46" i="1"/>
  <c r="BF24" i="1"/>
  <c r="AY25" i="1"/>
  <c r="DI26" i="1"/>
  <c r="AR40" i="1"/>
  <c r="O39" i="1"/>
  <c r="DI24" i="1"/>
  <c r="X24" i="1"/>
  <c r="AO37" i="1"/>
  <c r="X41" i="1"/>
  <c r="X38" i="1"/>
  <c r="BJ44" i="1"/>
  <c r="P41" i="1"/>
  <c r="DD24" i="1"/>
  <c r="AB24" i="1"/>
  <c r="AP43" i="1"/>
  <c r="AE41" i="1"/>
  <c r="CZ25" i="1"/>
  <c r="AX26" i="1"/>
  <c r="AF44" i="1"/>
  <c r="DE23" i="1"/>
  <c r="CZ24" i="1"/>
  <c r="AU46" i="1"/>
  <c r="O43" i="1"/>
  <c r="BA24" i="1"/>
  <c r="BD38" i="1"/>
  <c r="BT26" i="1"/>
  <c r="AI45" i="1"/>
  <c r="AQ42" i="1"/>
  <c r="BJ42" i="1"/>
  <c r="CV25" i="1"/>
  <c r="CD24" i="1"/>
  <c r="AI37" i="1"/>
  <c r="DI23" i="1"/>
  <c r="O19" i="1"/>
  <c r="AG46" i="1"/>
  <c r="CR24" i="1"/>
  <c r="AW26" i="1"/>
  <c r="DA24" i="1"/>
  <c r="T45" i="1"/>
  <c r="CW23" i="1"/>
  <c r="P46" i="1"/>
  <c r="BE25" i="1"/>
  <c r="BD41" i="1"/>
  <c r="AE23" i="1"/>
  <c r="BB46" i="1"/>
  <c r="S24" i="1"/>
  <c r="BF25" i="1"/>
  <c r="DJ26" i="1"/>
  <c r="AE40" i="1"/>
  <c r="AK43" i="1"/>
  <c r="S41" i="1"/>
  <c r="AG37" i="1"/>
  <c r="BM26" i="1"/>
  <c r="DA23" i="1"/>
  <c r="Y24" i="1"/>
  <c r="BT23" i="1"/>
  <c r="AG40" i="1"/>
  <c r="BG43" i="1"/>
  <c r="AQ46" i="1"/>
  <c r="AX39" i="1"/>
  <c r="R43" i="1"/>
  <c r="AD46" i="1"/>
  <c r="AR43" i="1"/>
  <c r="W25" i="1"/>
  <c r="CE23" i="1"/>
  <c r="AV26" i="1"/>
  <c r="AB46" i="1"/>
  <c r="BB38" i="1"/>
  <c r="CY23" i="1"/>
  <c r="CB24" i="1"/>
  <c r="CK25" i="1"/>
  <c r="BC46" i="1"/>
  <c r="T46" i="1"/>
  <c r="CH23" i="1"/>
  <c r="Z25" i="1"/>
  <c r="AE38" i="1"/>
  <c r="X23" i="1"/>
  <c r="T23" i="1"/>
  <c r="V24" i="1"/>
  <c r="V45" i="1"/>
  <c r="CM26" i="1"/>
  <c r="BK39" i="1"/>
  <c r="BI40" i="1"/>
  <c r="CB26" i="1"/>
  <c r="AH43" i="1"/>
  <c r="AC37" i="1"/>
  <c r="AH44" i="1"/>
  <c r="Q46" i="1"/>
  <c r="AS24" i="1"/>
  <c r="CG25" i="1"/>
  <c r="AY23" i="1"/>
  <c r="U42" i="1"/>
  <c r="Q44" i="1"/>
  <c r="AR23" i="1"/>
  <c r="AT40" i="1"/>
  <c r="CE25" i="1"/>
  <c r="AG42" i="1"/>
  <c r="BZ23" i="1"/>
  <c r="AF26" i="1"/>
  <c r="P26" i="1"/>
  <c r="BN26" i="1"/>
  <c r="CT23" i="1"/>
  <c r="AW40" i="1"/>
  <c r="DB24" i="1"/>
  <c r="AT24" i="1"/>
  <c r="AV40" i="1"/>
  <c r="AJ24" i="1"/>
  <c r="AF41" i="1"/>
  <c r="CH24" i="1"/>
  <c r="DG24" i="1"/>
  <c r="BZ24" i="1"/>
  <c r="AA25" i="1"/>
  <c r="AJ42" i="1"/>
  <c r="CV23" i="1"/>
  <c r="AI24" i="1"/>
  <c r="Z24" i="1"/>
  <c r="AN26" i="1"/>
  <c r="AU43" i="1"/>
  <c r="DB25" i="1"/>
  <c r="Q26" i="1"/>
  <c r="T44" i="1"/>
  <c r="BF23" i="1"/>
  <c r="CR26" i="1"/>
  <c r="BB37" i="1"/>
  <c r="BE37" i="1"/>
  <c r="AU45" i="1"/>
  <c r="AE39" i="1"/>
  <c r="AF38" i="1"/>
  <c r="BR25" i="1"/>
  <c r="AQ24" i="1"/>
  <c r="BJ26" i="1"/>
  <c r="BI41" i="1"/>
  <c r="BU24" i="1"/>
  <c r="T39" i="1"/>
  <c r="U43" i="1"/>
  <c r="BW26" i="1"/>
  <c r="BN23" i="1"/>
  <c r="AO25" i="1"/>
  <c r="BR23" i="1"/>
  <c r="CW26" i="1"/>
  <c r="R40" i="1"/>
  <c r="BW25" i="1"/>
  <c r="AI25" i="1"/>
  <c r="AP26" i="1"/>
  <c r="P45" i="1"/>
  <c r="W38" i="1"/>
  <c r="CS23" i="1"/>
  <c r="CF26" i="1"/>
  <c r="AO43" i="1"/>
  <c r="AS25" i="1"/>
  <c r="W42" i="1"/>
  <c r="DJ23" i="1"/>
  <c r="AP39" i="1"/>
  <c r="W39" i="1"/>
  <c r="BI42" i="1"/>
  <c r="BG40" i="1"/>
  <c r="DE25" i="1"/>
  <c r="CG23" i="1"/>
  <c r="CS25" i="1"/>
  <c r="AW44" i="1"/>
  <c r="CE24" i="1"/>
  <c r="BC39" i="1"/>
  <c r="P42" i="1"/>
  <c r="BQ24" i="1"/>
  <c r="BI39" i="1"/>
  <c r="CM23" i="1"/>
  <c r="CD25" i="1"/>
  <c r="BO23" i="1"/>
  <c r="P43" i="1"/>
  <c r="BG23" i="1"/>
  <c r="AI46" i="1"/>
  <c r="AS38" i="1"/>
  <c r="AW42" i="1"/>
  <c r="DA26" i="1"/>
  <c r="AV24" i="1"/>
  <c r="BI45" i="1"/>
  <c r="Q45" i="1"/>
  <c r="AQ39" i="1"/>
  <c r="AB42" i="1"/>
  <c r="AF46" i="1"/>
  <c r="CD23" i="1"/>
  <c r="Z26" i="1"/>
  <c r="AG38" i="1"/>
  <c r="BJ46" i="1"/>
  <c r="W41" i="1"/>
  <c r="AH41" i="1"/>
  <c r="AW25" i="1"/>
  <c r="S42" i="1"/>
  <c r="AJ23" i="1"/>
  <c r="AD45" i="1"/>
  <c r="BG39" i="1"/>
  <c r="BS26" i="1"/>
  <c r="AD37" i="1"/>
  <c r="BA25" i="1"/>
  <c r="AD23" i="1"/>
  <c r="BU25" i="1"/>
  <c r="AK26" i="1"/>
  <c r="BH39" i="1"/>
  <c r="AU26" i="1"/>
  <c r="V38" i="1"/>
  <c r="Q38" i="1"/>
  <c r="AJ37" i="1"/>
  <c r="R26" i="1"/>
  <c r="BY26" i="1"/>
  <c r="AO23" i="1"/>
  <c r="X37" i="1"/>
  <c r="BB42" i="1"/>
  <c r="V43" i="1"/>
  <c r="R24" i="1"/>
  <c r="AE42" i="1"/>
  <c r="BI23" i="1"/>
  <c r="AR42" i="1"/>
  <c r="BE44" i="1"/>
  <c r="AV42" i="1"/>
  <c r="BI26" i="1"/>
  <c r="BD45" i="1"/>
  <c r="DF26" i="1"/>
  <c r="BY24" i="1"/>
  <c r="BC24" i="1"/>
  <c r="BG42" i="1"/>
  <c r="AD26" i="1"/>
  <c r="DE24" i="1"/>
  <c r="BI43" i="1"/>
  <c r="AJ25" i="1"/>
  <c r="BK24" i="1"/>
  <c r="AW39" i="1"/>
  <c r="AX25" i="1"/>
  <c r="CL24" i="1"/>
  <c r="BW24" i="1"/>
  <c r="BC45" i="1"/>
  <c r="BJ38" i="1"/>
  <c r="DE26" i="1"/>
  <c r="AD42" i="1"/>
  <c r="X42" i="1"/>
  <c r="AC44" i="1"/>
  <c r="CK23" i="1"/>
  <c r="R45" i="1"/>
  <c r="BB41" i="1"/>
  <c r="BB44" i="1"/>
  <c r="O45" i="1"/>
  <c r="W37" i="1"/>
  <c r="U26" i="1"/>
  <c r="AB23" i="1"/>
  <c r="BH43" i="1"/>
  <c r="BP25" i="1"/>
  <c r="CY26" i="1"/>
  <c r="AT25" i="1"/>
  <c r="AK40" i="1"/>
  <c r="CB23" i="1"/>
  <c r="AM25" i="1"/>
  <c r="AB41" i="1"/>
  <c r="CH25" i="1"/>
  <c r="AA26" i="1"/>
  <c r="S40" i="1"/>
  <c r="U39" i="1"/>
  <c r="BF45" i="1"/>
  <c r="AG44" i="1"/>
  <c r="CI26" i="1"/>
  <c r="CR25" i="1"/>
  <c r="AB43" i="1"/>
  <c r="CP26" i="1"/>
  <c r="AH37" i="1"/>
  <c r="AV41" i="1"/>
  <c r="BE26" i="1"/>
  <c r="DJ24" i="1"/>
  <c r="AI44" i="1"/>
  <c r="AR24" i="1"/>
  <c r="T37" i="1"/>
  <c r="BX23" i="1"/>
  <c r="AQ44" i="1"/>
  <c r="AS42" i="1"/>
  <c r="BB43" i="1"/>
  <c r="BK38" i="1"/>
  <c r="AM23" i="1"/>
  <c r="AR39" i="1"/>
  <c r="BG41" i="1"/>
  <c r="AO26" i="1"/>
  <c r="AH38" i="1"/>
  <c r="R23" i="1"/>
  <c r="CC25" i="1"/>
  <c r="R39" i="1"/>
  <c r="CX23" i="1"/>
  <c r="BH40" i="1"/>
  <c r="V41" i="1"/>
  <c r="BX25" i="1"/>
  <c r="V44" i="1"/>
  <c r="CT26" i="1"/>
  <c r="AS43" i="1"/>
  <c r="O46" i="1"/>
  <c r="CT25" i="1"/>
  <c r="BT24" i="1"/>
  <c r="BK41" i="1"/>
  <c r="AU39" i="1"/>
  <c r="DB23" i="1"/>
  <c r="DF24" i="1"/>
  <c r="AD39" i="1"/>
  <c r="BV24" i="1"/>
  <c r="BH44" i="1"/>
  <c r="DF23" i="1"/>
  <c r="BO26" i="1"/>
  <c r="CC24" i="1"/>
  <c r="AR41" i="1"/>
  <c r="P39" i="1"/>
  <c r="BX24" i="1"/>
  <c r="BD40" i="1"/>
  <c r="AS39" i="1"/>
  <c r="AJ26" i="1"/>
  <c r="BK44" i="1"/>
  <c r="CA25" i="1"/>
  <c r="DD26" i="1"/>
  <c r="AP23" i="1"/>
  <c r="BF39" i="1"/>
  <c r="BG37" i="1"/>
  <c r="BK25" i="1"/>
  <c r="CR23" i="1"/>
  <c r="CW24" i="1"/>
  <c r="BH38" i="1"/>
  <c r="AM26" i="1"/>
  <c r="CG24" i="1"/>
  <c r="BL25" i="1"/>
  <c r="AH40" i="1"/>
  <c r="AK24" i="1"/>
  <c r="Q37" i="1"/>
  <c r="X25" i="1"/>
  <c r="DD23" i="1"/>
  <c r="CF24" i="1"/>
  <c r="CJ25" i="1"/>
  <c r="AF39" i="1"/>
  <c r="U44" i="1"/>
  <c r="CN26" i="1"/>
  <c r="AZ25" i="1"/>
  <c r="AR37" i="1"/>
  <c r="S46" i="1"/>
  <c r="CU24" i="1"/>
  <c r="AZ23" i="1"/>
  <c r="CV24" i="1"/>
  <c r="DC24" i="1"/>
  <c r="AI42" i="1"/>
  <c r="DB26" i="1"/>
  <c r="CQ25" i="1"/>
  <c r="AR44" i="1"/>
  <c r="AJ38" i="1"/>
  <c r="AI23" i="1"/>
  <c r="CO24" i="1"/>
  <c r="AI39" i="1"/>
  <c r="AW37" i="1"/>
  <c r="AQ41" i="1"/>
  <c r="DC26" i="1"/>
  <c r="V23" i="1"/>
  <c r="BH45" i="1"/>
  <c r="AC43" i="1"/>
  <c r="CU23" i="1"/>
  <c r="Q24" i="1"/>
  <c r="AP46" i="1"/>
  <c r="AX46" i="1"/>
  <c r="AS41" i="1"/>
  <c r="BG26" i="1"/>
  <c r="AS44" i="1"/>
  <c r="AL26" i="1"/>
  <c r="V42" i="1"/>
  <c r="AE25" i="1"/>
  <c r="AV38" i="1"/>
  <c r="DA25" i="1"/>
  <c r="BE45" i="1"/>
  <c r="AO39" i="1"/>
  <c r="AK38" i="1"/>
  <c r="AK37" i="1"/>
  <c r="W24" i="1"/>
  <c r="AC38" i="1"/>
  <c r="AT43" i="1"/>
  <c r="AC40" i="1"/>
  <c r="R25" i="1"/>
  <c r="BK26" i="1"/>
  <c r="R42" i="1"/>
  <c r="BD43" i="1"/>
  <c r="AX43" i="1"/>
  <c r="T41" i="1"/>
  <c r="AH26" i="1"/>
  <c r="AN24" i="1"/>
  <c r="BD26" i="1"/>
  <c r="AU41" i="1"/>
  <c r="CL26" i="1"/>
  <c r="BF46" i="1"/>
  <c r="BH37" i="1"/>
  <c r="CA23" i="1"/>
  <c r="O24" i="1"/>
  <c r="W26" i="1"/>
  <c r="AK39" i="1"/>
  <c r="BV26" i="1"/>
  <c r="AC23" i="1"/>
  <c r="DH26" i="1"/>
  <c r="CP25" i="1"/>
  <c r="CI25" i="1"/>
  <c r="Q39" i="1"/>
  <c r="DH24" i="1"/>
  <c r="AR46" i="1"/>
  <c r="CZ26" i="1"/>
  <c r="AU38" i="1"/>
  <c r="X43" i="1"/>
  <c r="AS23" i="1"/>
  <c r="AF24" i="1"/>
  <c r="P44" i="1"/>
  <c r="BG46" i="1"/>
  <c r="W45" i="1"/>
  <c r="BK37" i="1"/>
  <c r="CN23" i="1"/>
  <c r="X45" i="1"/>
  <c r="AT46" i="1"/>
  <c r="BP24" i="1"/>
  <c r="BJ25" i="1"/>
  <c r="X44" i="1"/>
  <c r="AP44" i="1"/>
  <c r="BM25" i="1"/>
  <c r="BM23" i="1"/>
  <c r="AU40" i="1"/>
  <c r="BI44" i="1"/>
  <c r="DF25" i="1"/>
  <c r="BI37" i="1"/>
  <c r="BS25" i="1"/>
  <c r="CF25" i="1"/>
  <c r="AT41" i="1"/>
  <c r="BB26" i="1"/>
  <c r="T38" i="1"/>
  <c r="T43" i="1"/>
  <c r="BL23" i="1"/>
  <c r="BU26" i="1"/>
  <c r="AJ45" i="1"/>
  <c r="R38" i="1"/>
  <c r="BJ39" i="1"/>
  <c r="T25" i="1"/>
  <c r="BX26" i="1"/>
  <c r="AU25" i="1"/>
  <c r="DG23" i="1"/>
  <c r="BH41" i="1"/>
  <c r="AO40" i="1"/>
  <c r="AG25" i="1"/>
  <c r="AX23" i="1"/>
  <c r="Y23" i="1"/>
  <c r="AJ43" i="1"/>
  <c r="AT26" i="1"/>
  <c r="BK23" i="1"/>
  <c r="U25" i="1"/>
  <c r="X46" i="1"/>
  <c r="AN25" i="1"/>
  <c r="O26" i="1"/>
  <c r="AV46" i="1"/>
  <c r="AP25" i="1"/>
  <c r="O40" i="1"/>
  <c r="Q23" i="1"/>
  <c r="BI46" i="1"/>
  <c r="AK41" i="1"/>
  <c r="AB45" i="1"/>
  <c r="BF38" i="1"/>
  <c r="AX24" i="1"/>
  <c r="BP26" i="1"/>
  <c r="AH25" i="1"/>
  <c r="BB45" i="1"/>
  <c r="BU23" i="1"/>
  <c r="AV37" i="1"/>
  <c r="CJ23" i="1"/>
  <c r="AC46" i="1"/>
  <c r="AF40" i="1"/>
  <c r="AQ23" i="1"/>
  <c r="X40" i="1"/>
  <c r="AB26" i="1"/>
  <c r="CS26" i="1"/>
  <c r="AK45" i="1"/>
  <c r="AB44" i="1"/>
  <c r="BC38" i="1"/>
  <c r="AB39" i="1"/>
  <c r="AP45" i="1"/>
  <c r="AL24" i="1"/>
  <c r="BB39" i="1"/>
  <c r="AS36" i="1"/>
  <c r="BK36" i="1"/>
  <c r="BJ41" i="1"/>
  <c r="AW23" i="1"/>
  <c r="AT23" i="1"/>
  <c r="AD43" i="1"/>
  <c r="P25" i="1"/>
  <c r="CQ26" i="1"/>
  <c r="O42" i="1"/>
  <c r="AT38" i="1"/>
  <c r="AB25" i="1"/>
  <c r="AF43" i="1"/>
  <c r="CK26" i="1"/>
  <c r="AV23" i="1"/>
  <c r="BV23" i="1"/>
  <c r="DC25" i="1"/>
  <c r="AP24" i="1"/>
  <c r="CY24" i="1"/>
  <c r="AS46" i="1"/>
  <c r="BF37" i="1"/>
  <c r="AF37" i="1"/>
  <c r="BE40" i="1"/>
  <c r="BG36" i="1"/>
  <c r="BD24" i="1"/>
  <c r="S39" i="1"/>
  <c r="BD42" i="1"/>
  <c r="BV25" i="1"/>
  <c r="AU23" i="1"/>
  <c r="S23" i="1"/>
  <c r="AO44" i="1"/>
  <c r="U45" i="1"/>
  <c r="CI24" i="1"/>
  <c r="AD40" i="1"/>
  <c r="AJ44" i="1"/>
  <c r="AE46" i="1"/>
  <c r="BG24" i="1"/>
  <c r="BI25" i="1"/>
  <c r="AP42" i="1"/>
  <c r="AT44" i="1"/>
  <c r="O23" i="1"/>
  <c r="BY23" i="1"/>
  <c r="AA23" i="1"/>
  <c r="AO42" i="1"/>
  <c r="CJ24" i="1"/>
  <c r="BY25" i="1"/>
  <c r="Q43" i="1"/>
  <c r="AW45" i="1"/>
  <c r="T42" i="1"/>
  <c r="CA24" i="1"/>
  <c r="S43" i="1"/>
  <c r="AD41" i="1"/>
  <c r="BD46" i="1"/>
  <c r="AC39" i="1"/>
  <c r="BK43" i="1"/>
  <c r="AF42" i="1"/>
  <c r="W44" i="1"/>
  <c r="X39" i="1"/>
  <c r="AR25" i="1"/>
  <c r="BK42" i="1"/>
  <c r="CO23" i="1"/>
  <c r="AX41" i="1"/>
  <c r="BL24" i="1"/>
  <c r="R41" i="1"/>
  <c r="AB37" i="1"/>
  <c r="AL25" i="1"/>
  <c r="BD39" i="1"/>
  <c r="AJ41" i="1"/>
  <c r="AG41" i="1"/>
  <c r="AE24" i="1"/>
  <c r="AC26" i="1"/>
  <c r="U41" i="1"/>
  <c r="AK46" i="1"/>
  <c r="BN25" i="1"/>
  <c r="AE37" i="1"/>
  <c r="P23" i="1"/>
  <c r="BJ23" i="1"/>
  <c r="BA26" i="1"/>
  <c r="AI26" i="1"/>
  <c r="AO38" i="1"/>
  <c r="BB24" i="1"/>
  <c r="S37" i="1"/>
  <c r="CQ24" i="1"/>
  <c r="CV26" i="1"/>
  <c r="AP41" i="1"/>
  <c r="BH26" i="1"/>
  <c r="BJ45" i="1"/>
  <c r="DH25" i="1"/>
  <c r="AI41" i="1"/>
  <c r="CC26" i="1"/>
  <c r="AV43" i="1"/>
  <c r="AV45" i="1"/>
  <c r="AZ24" i="1"/>
  <c r="Q25" i="1"/>
  <c r="AW38" i="1"/>
  <c r="O44" i="1"/>
  <c r="BO24" i="1"/>
  <c r="DC23" i="1"/>
  <c r="BW23" i="1"/>
  <c r="CY25" i="1"/>
  <c r="Q42" i="1"/>
  <c r="BE46" i="1"/>
  <c r="BK40" i="1"/>
  <c r="AQ43" i="1"/>
  <c r="AG39" i="1"/>
  <c r="AD44" i="1"/>
  <c r="BR24" i="1"/>
  <c r="AI43" i="1"/>
  <c r="CO26" i="1"/>
  <c r="CX24" i="1"/>
  <c r="U37" i="1"/>
  <c r="AS40" i="1"/>
  <c r="BZ26" i="1"/>
  <c r="BD37" i="1"/>
  <c r="O38" i="1"/>
  <c r="AB38" i="1"/>
  <c r="AO24" i="1"/>
  <c r="CO25" i="1"/>
  <c r="AH24" i="1"/>
  <c r="AV25" i="1"/>
  <c r="CF23" i="1"/>
  <c r="BZ25" i="1"/>
  <c r="AQ25" i="1"/>
  <c r="BF41" i="1"/>
  <c r="BJ36" i="1"/>
  <c r="BI36" i="1"/>
  <c r="AR36" i="1"/>
  <c r="BH36" i="1"/>
  <c r="AP36" i="1"/>
  <c r="BB36" i="1"/>
  <c r="AX36" i="1"/>
  <c r="BF36" i="1"/>
  <c r="AW36" i="1"/>
  <c r="BD36" i="1"/>
  <c r="AV36" i="1"/>
  <c r="BE36" i="1"/>
  <c r="AT36" i="1"/>
  <c r="U40" i="1"/>
  <c r="AE26" i="1"/>
  <c r="AP37" i="1"/>
  <c r="V25" i="1"/>
  <c r="CK24" i="1"/>
  <c r="AT37" i="1"/>
  <c r="AV39" i="1"/>
  <c r="BM24" i="1"/>
  <c r="AO45" i="1"/>
  <c r="CL25" i="1"/>
  <c r="V26" i="1"/>
  <c r="BJ43" i="1"/>
  <c r="AB40" i="1"/>
  <c r="AX40" i="1"/>
  <c r="AC42" i="1"/>
  <c r="BI38" i="1"/>
  <c r="BF26" i="1"/>
  <c r="Z23" i="1"/>
  <c r="CE26" i="1"/>
  <c r="AJ39" i="1"/>
  <c r="AQ45" i="1"/>
  <c r="AG45" i="1"/>
  <c r="AC25" i="1"/>
  <c r="AF25" i="1"/>
  <c r="BT25" i="1"/>
  <c r="AX42" i="1"/>
  <c r="CA26" i="1"/>
  <c r="AF45" i="1"/>
  <c r="AK42" i="1"/>
  <c r="AD25" i="1"/>
  <c r="Y26" i="1"/>
  <c r="BC41" i="1"/>
  <c r="AX45" i="1"/>
  <c r="BD44" i="1"/>
  <c r="DH23" i="1"/>
  <c r="CL23" i="1"/>
  <c r="AJ46" i="1"/>
  <c r="AS26" i="1"/>
  <c r="BC40" i="1"/>
  <c r="BC42" i="1"/>
  <c r="CH26" i="1"/>
  <c r="AY24" i="1"/>
  <c r="Y25" i="1"/>
  <c r="AX44" i="1"/>
  <c r="CU25" i="1"/>
  <c r="BN24" i="1"/>
  <c r="R46" i="1"/>
  <c r="BJ40" i="1"/>
  <c r="BA23" i="1"/>
  <c r="AU36" i="1"/>
  <c r="BE38" i="1"/>
  <c r="AK25" i="1"/>
  <c r="O37" i="1"/>
  <c r="AW41" i="1"/>
  <c r="BF40" i="1"/>
  <c r="AW43" i="1"/>
  <c r="S38" i="1"/>
  <c r="AE43" i="1"/>
  <c r="AC41" i="1"/>
  <c r="AG24" i="1"/>
  <c r="BC43" i="1"/>
  <c r="BG38" i="1"/>
  <c r="DG25" i="1"/>
  <c r="CX25" i="1"/>
  <c r="O41" i="1"/>
  <c r="AR26" i="1"/>
  <c r="P40" i="1"/>
  <c r="AU44" i="1"/>
  <c r="AT42" i="1"/>
  <c r="S45" i="1"/>
  <c r="BE24" i="1"/>
  <c r="S44" i="1"/>
  <c r="BS24" i="1"/>
  <c r="AX37" i="1"/>
  <c r="AQ36" i="1"/>
  <c r="U23" i="1"/>
  <c r="U24" i="1"/>
  <c r="AE44" i="1"/>
  <c r="AR45" i="1"/>
  <c r="BH42" i="1"/>
  <c r="AM24" i="1"/>
  <c r="AQ26" i="1"/>
  <c r="BD25" i="1"/>
  <c r="AC45" i="1"/>
  <c r="CZ23" i="1"/>
  <c r="W40" i="1"/>
  <c r="AD24" i="1"/>
  <c r="CJ26" i="1"/>
  <c r="S25" i="1"/>
  <c r="AH42" i="1"/>
  <c r="AQ38" i="1"/>
  <c r="AO41" i="1"/>
  <c r="AC24" i="1"/>
  <c r="CX26" i="1"/>
  <c r="AT45" i="1"/>
  <c r="AX38" i="1"/>
  <c r="BP23" i="1"/>
  <c r="AG23" i="1"/>
  <c r="BO25" i="1"/>
  <c r="BQ26" i="1"/>
  <c r="AP38" i="1"/>
  <c r="AV44" i="1"/>
  <c r="V39" i="1"/>
  <c r="CS24" i="1"/>
  <c r="AG43" i="1"/>
  <c r="CQ23" i="1"/>
  <c r="BL26" i="1"/>
  <c r="P24" i="1"/>
  <c r="CT24" i="1"/>
  <c r="BK45" i="1"/>
  <c r="AN23" i="1"/>
  <c r="AH23" i="1"/>
  <c r="BF44" i="1"/>
  <c r="CG26" i="1"/>
  <c r="CP24" i="1"/>
  <c r="BC26" i="1"/>
  <c r="BE39" i="1"/>
  <c r="DJ25" i="1"/>
  <c r="CN24" i="1"/>
  <c r="W43" i="1"/>
  <c r="AE45" i="1"/>
  <c r="CC23" i="1"/>
  <c r="CM24" i="1"/>
  <c r="CW25" i="1"/>
  <c r="W23" i="1"/>
  <c r="AO36" i="1"/>
  <c r="BC3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<sst xmlns="http://schemas.openxmlformats.org/spreadsheetml/2006/main" count="60" uniqueCount="52">
  <si>
    <t>Entrées</t>
  </si>
  <si>
    <t>Type</t>
  </si>
  <si>
    <t>Paramètres</t>
  </si>
  <si>
    <t xml:space="preserve">Prix initial </t>
  </si>
  <si>
    <t>Taux continu</t>
  </si>
  <si>
    <t>R</t>
  </si>
  <si>
    <t>Volatilité</t>
  </si>
  <si>
    <t>𝜎</t>
  </si>
  <si>
    <t>T</t>
  </si>
  <si>
    <t>Nombre de pas</t>
  </si>
  <si>
    <t>N</t>
  </si>
  <si>
    <t>Temps initial</t>
  </si>
  <si>
    <t>Trajectoires</t>
  </si>
  <si>
    <t>M</t>
  </si>
  <si>
    <t>Seed</t>
  </si>
  <si>
    <t>c</t>
  </si>
  <si>
    <t>Tableau Monte Carlo</t>
  </si>
  <si>
    <t>Prix</t>
  </si>
  <si>
    <t>Delta</t>
  </si>
  <si>
    <t>Gamma</t>
  </si>
  <si>
    <t>Theta</t>
  </si>
  <si>
    <t>Rho</t>
  </si>
  <si>
    <t>Vega</t>
  </si>
  <si>
    <t>Estimation</t>
  </si>
  <si>
    <t>SE</t>
  </si>
  <si>
    <t>Inf IC</t>
  </si>
  <si>
    <t>Sup IC</t>
  </si>
  <si>
    <t>Réduction de variance</t>
  </si>
  <si>
    <t>P</t>
  </si>
  <si>
    <t>Δ</t>
  </si>
  <si>
    <t>Γ</t>
  </si>
  <si>
    <t>Θ</t>
  </si>
  <si>
    <t>ρ</t>
  </si>
  <si>
    <t xml:space="preserve">v </t>
  </si>
  <si>
    <t>Convergence</t>
  </si>
  <si>
    <t>Évolution du prix et du delta</t>
  </si>
  <si>
    <t>Monte Carlo Classique</t>
  </si>
  <si>
    <r>
      <t>S</t>
    </r>
    <r>
      <rPr>
        <b/>
        <vertAlign val="subscript"/>
        <sz val="12"/>
        <color theme="3" tint="9.9978637043366805E-2"/>
        <rFont val="Aptos Narrow"/>
        <family val="2"/>
        <scheme val="minor"/>
      </rPr>
      <t>0</t>
    </r>
  </si>
  <si>
    <r>
      <t>T</t>
    </r>
    <r>
      <rPr>
        <b/>
        <vertAlign val="subscript"/>
        <sz val="12"/>
        <color theme="3" tint="9.9978637043366805E-2"/>
        <rFont val="Aptos Narrow"/>
        <family val="2"/>
        <scheme val="minor"/>
      </rPr>
      <t>0</t>
    </r>
  </si>
  <si>
    <t>Lookback call</t>
  </si>
  <si>
    <t>Lookback put</t>
  </si>
  <si>
    <t>Maturité (années)</t>
  </si>
  <si>
    <t>Pcall</t>
  </si>
  <si>
    <t>PcallVR</t>
  </si>
  <si>
    <t>Pput</t>
  </si>
  <si>
    <t>PputVR</t>
  </si>
  <si>
    <t>Dcall</t>
  </si>
  <si>
    <t>Dput</t>
  </si>
  <si>
    <t>ErrCall</t>
  </si>
  <si>
    <t>ErrVRCall</t>
  </si>
  <si>
    <t>ErrPut</t>
  </si>
  <si>
    <t>ErVRPut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</si>
</sst>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E+00"/>
  </numFmts>
  <fonts count="11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36"/>
      <color theme="3" tint="9.9978637043366805E-2"/>
      <name val="Aptos Narrow"/>
      <family val="2"/>
      <scheme val="minor"/>
    </font>
    <font>
      <b/>
      <sz val="15"/>
      <color theme="3" tint="9.9978637043366805E-2"/>
      <name val="Aptos Narrow"/>
      <family val="2"/>
      <scheme val="minor"/>
    </font>
    <font>
      <b/>
      <sz val="12"/>
      <color theme="3" tint="9.9978637043366805E-2"/>
      <name val="Aptos Narrow"/>
      <family val="2"/>
      <scheme val="minor"/>
    </font>
    <font>
      <b/>
      <vertAlign val="subscript"/>
      <sz val="12"/>
      <color theme="3" tint="9.9978637043366805E-2"/>
      <name val="Aptos Narrow"/>
      <family val="2"/>
      <scheme val="minor"/>
    </font>
    <font>
      <b/>
      <sz val="12"/>
      <color theme="3" tint="9.9978637043366805E-2"/>
      <name val="Aptos Narrow"/>
      <family val="2"/>
    </font>
    <font>
      <sz val="8"/>
      <color theme="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22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1" fillId="0" borderId="5" xfId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2" borderId="2" xfId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8" fillId="0" borderId="0" xfId="0" applyFont="1"/>
    <xf numFmtId="164" fontId="2" fillId="3" borderId="2" xfId="0" applyNumberFormat="1" applyFont="1" applyFill="1" applyBorder="1" applyAlignment="1">
      <alignment horizontal="center" vertical="center"/>
    </xf>
    <xf numFmtId="165" fontId="2" fillId="3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0" fontId="10" fillId="0" borderId="0" xfId="0" applyFont="1"/>
    <xf numFmtId="0" fontId="9" fillId="0" borderId="0" xfId="0" applyFont="1"/>
  </cellXfs>
  <cellStyles count="2">
    <cellStyle name="Heading 1" xfId="1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Prix</a:t>
            </a:r>
            <a:r>
              <a:rPr lang="en-GB" baseline="0"/>
              <a:t> en fonction de 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MC classique</c:v>
          </c:tx>
          <c:spPr>
            <a:ln w="19050" cap="rnd">
              <a:solidFill>
                <a:srgbClr val="4E95D9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[0]!Err</c:f>
                <c:numCache>
                  <c:formatCode>General</c:formatCode>
                  <c:ptCount val="100"/>
                  <c:pt idx="0">
                    <c:v>1.8135421646161058</c:v>
                  </c:pt>
                  <c:pt idx="1">
                    <c:v>2.0197961503282524</c:v>
                  </c:pt>
                  <c:pt idx="2">
                    <c:v>1.9751834487208857</c:v>
                  </c:pt>
                  <c:pt idx="3">
                    <c:v>1.8767644267052246</c:v>
                  </c:pt>
                  <c:pt idx="4">
                    <c:v>1.7318110470320911</c:v>
                  </c:pt>
                  <c:pt idx="5">
                    <c:v>1.9853067101127604</c:v>
                  </c:pt>
                  <c:pt idx="6">
                    <c:v>1.8665462331378937</c:v>
                  </c:pt>
                  <c:pt idx="7">
                    <c:v>1.9044955426504626</c:v>
                  </c:pt>
                  <c:pt idx="8">
                    <c:v>1.8135676565590331</c:v>
                  </c:pt>
                  <c:pt idx="9">
                    <c:v>1.8726184648853859</c:v>
                  </c:pt>
                  <c:pt idx="10">
                    <c:v>1.850520293712907</c:v>
                  </c:pt>
                  <c:pt idx="11">
                    <c:v>1.8680252233802395</c:v>
                  </c:pt>
                  <c:pt idx="12">
                    <c:v>1.761048493718991</c:v>
                  </c:pt>
                  <c:pt idx="13">
                    <c:v>1.8920368270792027</c:v>
                  </c:pt>
                  <c:pt idx="14">
                    <c:v>1.7816826066659879</c:v>
                  </c:pt>
                  <c:pt idx="15">
                    <c:v>1.6292705383093844</c:v>
                  </c:pt>
                  <c:pt idx="16">
                    <c:v>1.9007712353521327</c:v>
                  </c:pt>
                  <c:pt idx="17">
                    <c:v>1.7693333309882224</c:v>
                  </c:pt>
                  <c:pt idx="18">
                    <c:v>1.7424996948271398</c:v>
                  </c:pt>
                  <c:pt idx="19">
                    <c:v>1.7059690138142598</c:v>
                  </c:pt>
                  <c:pt idx="20">
                    <c:v>1.8323310796889554</c:v>
                  </c:pt>
                  <c:pt idx="21">
                    <c:v>1.7631072455526271</c:v>
                  </c:pt>
                  <c:pt idx="22">
                    <c:v>1.725356193110458</c:v>
                  </c:pt>
                  <c:pt idx="23">
                    <c:v>1.7199793381858655</c:v>
                  </c:pt>
                  <c:pt idx="24">
                    <c:v>1.8545186841033896</c:v>
                  </c:pt>
                  <c:pt idx="25">
                    <c:v>1.7575027746711218</c:v>
                  </c:pt>
                  <c:pt idx="26">
                    <c:v>1.892857395739971</c:v>
                  </c:pt>
                  <c:pt idx="27">
                    <c:v>1.6981825423178105</c:v>
                  </c:pt>
                  <c:pt idx="28">
                    <c:v>1.7037102999797868</c:v>
                  </c:pt>
                  <c:pt idx="29">
                    <c:v>1.7651720837876359</c:v>
                  </c:pt>
                  <c:pt idx="30">
                    <c:v>1.715002028540624</c:v>
                  </c:pt>
                  <c:pt idx="31">
                    <c:v>1.8970616105932023</c:v>
                  </c:pt>
                  <c:pt idx="32">
                    <c:v>1.7999244122534499</c:v>
                  </c:pt>
                  <c:pt idx="33">
                    <c:v>1.936957612726012</c:v>
                  </c:pt>
                  <c:pt idx="34">
                    <c:v>1.7533761027877157</c:v>
                  </c:pt>
                  <c:pt idx="35">
                    <c:v>1.8147414349825548</c:v>
                  </c:pt>
                  <c:pt idx="36">
                    <c:v>1.9012012789107491</c:v>
                  </c:pt>
                  <c:pt idx="37">
                    <c:v>1.6983441974693956</c:v>
                  </c:pt>
                  <c:pt idx="38">
                    <c:v>1.7576487668514491</c:v>
                  </c:pt>
                  <c:pt idx="39">
                    <c:v>1.8541104811359568</c:v>
                  </c:pt>
                  <c:pt idx="40">
                    <c:v>1.8276074049845907</c:v>
                  </c:pt>
                  <c:pt idx="41">
                    <c:v>1.7802968083075512</c:v>
                  </c:pt>
                  <c:pt idx="42">
                    <c:v>1.8984820612956816</c:v>
                  </c:pt>
                  <c:pt idx="43">
                    <c:v>1.8754460624979929</c:v>
                  </c:pt>
                  <c:pt idx="44">
                    <c:v>2.077487138840151</c:v>
                  </c:pt>
                  <c:pt idx="45">
                    <c:v>1.969215118049219</c:v>
                  </c:pt>
                  <c:pt idx="46">
                    <c:v>1.9054326642586059</c:v>
                  </c:pt>
                  <c:pt idx="47">
                    <c:v>1.9489517230749267</c:v>
                  </c:pt>
                  <c:pt idx="48">
                    <c:v>1.8294150719637681</c:v>
                  </c:pt>
                  <c:pt idx="49">
                    <c:v>1.7699697163302814</c:v>
                  </c:pt>
                  <c:pt idx="50">
                    <c:v>2.009501138473162</c:v>
                  </c:pt>
                  <c:pt idx="51">
                    <c:v>1.686005532871321</c:v>
                  </c:pt>
                  <c:pt idx="52">
                    <c:v>1.8705361850918476</c:v>
                  </c:pt>
                  <c:pt idx="53">
                    <c:v>1.8765257183695245</c:v>
                  </c:pt>
                  <c:pt idx="54">
                    <c:v>1.8422125460185104</c:v>
                  </c:pt>
                  <c:pt idx="55">
                    <c:v>1.8939393203112636</c:v>
                  </c:pt>
                  <c:pt idx="56">
                    <c:v>1.9303424074431264</c:v>
                  </c:pt>
                  <c:pt idx="57">
                    <c:v>1.9639610600523112</c:v>
                  </c:pt>
                  <c:pt idx="58">
                    <c:v>1.9801722510168811</c:v>
                  </c:pt>
                  <c:pt idx="59">
                    <c:v>2.0192180682835978</c:v>
                  </c:pt>
                  <c:pt idx="60">
                    <c:v>1.9575746977478861</c:v>
                  </c:pt>
                  <c:pt idx="61">
                    <c:v>2.0100137455396401</c:v>
                  </c:pt>
                  <c:pt idx="62">
                    <c:v>1.9433253089844513</c:v>
                  </c:pt>
                  <c:pt idx="63">
                    <c:v>1.9927739056593334</c:v>
                  </c:pt>
                  <c:pt idx="64">
                    <c:v>1.9906155968300741</c:v>
                  </c:pt>
                  <c:pt idx="65">
                    <c:v>1.9719516800687003</c:v>
                  </c:pt>
                  <c:pt idx="66">
                    <c:v>1.9962544761498768</c:v>
                  </c:pt>
                  <c:pt idx="67">
                    <c:v>1.9451741187984799</c:v>
                  </c:pt>
                  <c:pt idx="68">
                    <c:v>1.7722232613765423</c:v>
                  </c:pt>
                  <c:pt idx="69">
                    <c:v>1.8582358677159594</c:v>
                  </c:pt>
                  <c:pt idx="70">
                    <c:v>2.0941471132016249</c:v>
                  </c:pt>
                  <c:pt idx="71">
                    <c:v>1.8240898822844496</c:v>
                  </c:pt>
                  <c:pt idx="72">
                    <c:v>1.985163113674999</c:v>
                  </c:pt>
                  <c:pt idx="73">
                    <c:v>2.0804725578841592</c:v>
                  </c:pt>
                  <c:pt idx="74">
                    <c:v>1.9866972921781814</c:v>
                  </c:pt>
                  <c:pt idx="75">
                    <c:v>1.9762392837282725</c:v>
                  </c:pt>
                  <c:pt idx="76">
                    <c:v>1.9782591000694136</c:v>
                  </c:pt>
                  <c:pt idx="77">
                    <c:v>1.9827382878315625</c:v>
                  </c:pt>
                  <c:pt idx="78">
                    <c:v>2.0040260717436404</c:v>
                  </c:pt>
                  <c:pt idx="79">
                    <c:v>2.0789001058925782</c:v>
                  </c:pt>
                  <c:pt idx="80">
                    <c:v>1.996062878832255</c:v>
                  </c:pt>
                  <c:pt idx="81">
                    <c:v>2.0070838857924831</c:v>
                  </c:pt>
                  <c:pt idx="82">
                    <c:v>2.075261020061574</c:v>
                  </c:pt>
                  <c:pt idx="83">
                    <c:v>1.8920109305780366</c:v>
                  </c:pt>
                  <c:pt idx="84">
                    <c:v>1.7957581199302846</c:v>
                  </c:pt>
                  <c:pt idx="85">
                    <c:v>2.0451628724115642</c:v>
                  </c:pt>
                  <c:pt idx="86">
                    <c:v>1.9023028673007143</c:v>
                  </c:pt>
                  <c:pt idx="87">
                    <c:v>1.9501715637647703</c:v>
                  </c:pt>
                  <c:pt idx="88">
                    <c:v>1.9864222205840265</c:v>
                  </c:pt>
                  <c:pt idx="89">
                    <c:v>1.8635376629069846</c:v>
                  </c:pt>
                  <c:pt idx="90">
                    <c:v>2.0461252725324002</c:v>
                  </c:pt>
                  <c:pt idx="91">
                    <c:v>1.9912552526902052</c:v>
                  </c:pt>
                  <c:pt idx="92">
                    <c:v>2.0174511485578859</c:v>
                  </c:pt>
                  <c:pt idx="93">
                    <c:v>1.9673527657788372</c:v>
                  </c:pt>
                  <c:pt idx="94">
                    <c:v>1.920179360780254</c:v>
                  </c:pt>
                  <c:pt idx="95">
                    <c:v>2.0153948550808769</c:v>
                  </c:pt>
                  <c:pt idx="96">
                    <c:v>2.0682381084258448</c:v>
                  </c:pt>
                  <c:pt idx="97">
                    <c:v>1.9796485183107853</c:v>
                  </c:pt>
                  <c:pt idx="98">
                    <c:v>1.9377038956125183</c:v>
                  </c:pt>
                  <c:pt idx="99">
                    <c:v>1.9395487284789088</c:v>
                  </c:pt>
                </c:numCache>
              </c:numRef>
            </c:plus>
            <c:minus>
              <c:numRef>
                <c:f>[0]!Err</c:f>
                <c:numCache>
                  <c:formatCode>General</c:formatCode>
                  <c:ptCount val="100"/>
                  <c:pt idx="0">
                    <c:v>1.8135421646161058</c:v>
                  </c:pt>
                  <c:pt idx="1">
                    <c:v>2.0197961503282524</c:v>
                  </c:pt>
                  <c:pt idx="2">
                    <c:v>1.9751834487208857</c:v>
                  </c:pt>
                  <c:pt idx="3">
                    <c:v>1.8767644267052246</c:v>
                  </c:pt>
                  <c:pt idx="4">
                    <c:v>1.7318110470320911</c:v>
                  </c:pt>
                  <c:pt idx="5">
                    <c:v>1.9853067101127604</c:v>
                  </c:pt>
                  <c:pt idx="6">
                    <c:v>1.8665462331378937</c:v>
                  </c:pt>
                  <c:pt idx="7">
                    <c:v>1.9044955426504626</c:v>
                  </c:pt>
                  <c:pt idx="8">
                    <c:v>1.8135676565590331</c:v>
                  </c:pt>
                  <c:pt idx="9">
                    <c:v>1.8726184648853859</c:v>
                  </c:pt>
                  <c:pt idx="10">
                    <c:v>1.850520293712907</c:v>
                  </c:pt>
                  <c:pt idx="11">
                    <c:v>1.8680252233802395</c:v>
                  </c:pt>
                  <c:pt idx="12">
                    <c:v>1.761048493718991</c:v>
                  </c:pt>
                  <c:pt idx="13">
                    <c:v>1.8920368270792027</c:v>
                  </c:pt>
                  <c:pt idx="14">
                    <c:v>1.7816826066659879</c:v>
                  </c:pt>
                  <c:pt idx="15">
                    <c:v>1.6292705383093844</c:v>
                  </c:pt>
                  <c:pt idx="16">
                    <c:v>1.9007712353521327</c:v>
                  </c:pt>
                  <c:pt idx="17">
                    <c:v>1.7693333309882224</c:v>
                  </c:pt>
                  <c:pt idx="18">
                    <c:v>1.7424996948271398</c:v>
                  </c:pt>
                  <c:pt idx="19">
                    <c:v>1.7059690138142598</c:v>
                  </c:pt>
                  <c:pt idx="20">
                    <c:v>1.8323310796889554</c:v>
                  </c:pt>
                  <c:pt idx="21">
                    <c:v>1.7631072455526271</c:v>
                  </c:pt>
                  <c:pt idx="22">
                    <c:v>1.725356193110458</c:v>
                  </c:pt>
                  <c:pt idx="23">
                    <c:v>1.7199793381858655</c:v>
                  </c:pt>
                  <c:pt idx="24">
                    <c:v>1.8545186841033896</c:v>
                  </c:pt>
                  <c:pt idx="25">
                    <c:v>1.7575027746711218</c:v>
                  </c:pt>
                  <c:pt idx="26">
                    <c:v>1.892857395739971</c:v>
                  </c:pt>
                  <c:pt idx="27">
                    <c:v>1.6981825423178105</c:v>
                  </c:pt>
                  <c:pt idx="28">
                    <c:v>1.7037102999797868</c:v>
                  </c:pt>
                  <c:pt idx="29">
                    <c:v>1.7651720837876359</c:v>
                  </c:pt>
                  <c:pt idx="30">
                    <c:v>1.715002028540624</c:v>
                  </c:pt>
                  <c:pt idx="31">
                    <c:v>1.8970616105932023</c:v>
                  </c:pt>
                  <c:pt idx="32">
                    <c:v>1.7999244122534499</c:v>
                  </c:pt>
                  <c:pt idx="33">
                    <c:v>1.936957612726012</c:v>
                  </c:pt>
                  <c:pt idx="34">
                    <c:v>1.7533761027877157</c:v>
                  </c:pt>
                  <c:pt idx="35">
                    <c:v>1.8147414349825548</c:v>
                  </c:pt>
                  <c:pt idx="36">
                    <c:v>1.9012012789107491</c:v>
                  </c:pt>
                  <c:pt idx="37">
                    <c:v>1.6983441974693956</c:v>
                  </c:pt>
                  <c:pt idx="38">
                    <c:v>1.7576487668514491</c:v>
                  </c:pt>
                  <c:pt idx="39">
                    <c:v>1.8541104811359568</c:v>
                  </c:pt>
                  <c:pt idx="40">
                    <c:v>1.8276074049845907</c:v>
                  </c:pt>
                  <c:pt idx="41">
                    <c:v>1.7802968083075512</c:v>
                  </c:pt>
                  <c:pt idx="42">
                    <c:v>1.8984820612956816</c:v>
                  </c:pt>
                  <c:pt idx="43">
                    <c:v>1.8754460624979929</c:v>
                  </c:pt>
                  <c:pt idx="44">
                    <c:v>2.077487138840151</c:v>
                  </c:pt>
                  <c:pt idx="45">
                    <c:v>1.969215118049219</c:v>
                  </c:pt>
                  <c:pt idx="46">
                    <c:v>1.9054326642586059</c:v>
                  </c:pt>
                  <c:pt idx="47">
                    <c:v>1.9489517230749267</c:v>
                  </c:pt>
                  <c:pt idx="48">
                    <c:v>1.8294150719637681</c:v>
                  </c:pt>
                  <c:pt idx="49">
                    <c:v>1.7699697163302814</c:v>
                  </c:pt>
                  <c:pt idx="50">
                    <c:v>2.009501138473162</c:v>
                  </c:pt>
                  <c:pt idx="51">
                    <c:v>1.686005532871321</c:v>
                  </c:pt>
                  <c:pt idx="52">
                    <c:v>1.8705361850918476</c:v>
                  </c:pt>
                  <c:pt idx="53">
                    <c:v>1.8765257183695245</c:v>
                  </c:pt>
                  <c:pt idx="54">
                    <c:v>1.8422125460185104</c:v>
                  </c:pt>
                  <c:pt idx="55">
                    <c:v>1.8939393203112636</c:v>
                  </c:pt>
                  <c:pt idx="56">
                    <c:v>1.9303424074431264</c:v>
                  </c:pt>
                  <c:pt idx="57">
                    <c:v>1.9639610600523112</c:v>
                  </c:pt>
                  <c:pt idx="58">
                    <c:v>1.9801722510168811</c:v>
                  </c:pt>
                  <c:pt idx="59">
                    <c:v>2.0192180682835978</c:v>
                  </c:pt>
                  <c:pt idx="60">
                    <c:v>1.9575746977478861</c:v>
                  </c:pt>
                  <c:pt idx="61">
                    <c:v>2.0100137455396401</c:v>
                  </c:pt>
                  <c:pt idx="62">
                    <c:v>1.9433253089844513</c:v>
                  </c:pt>
                  <c:pt idx="63">
                    <c:v>1.9927739056593334</c:v>
                  </c:pt>
                  <c:pt idx="64">
                    <c:v>1.9906155968300741</c:v>
                  </c:pt>
                  <c:pt idx="65">
                    <c:v>1.9719516800687003</c:v>
                  </c:pt>
                  <c:pt idx="66">
                    <c:v>1.9962544761498768</c:v>
                  </c:pt>
                  <c:pt idx="67">
                    <c:v>1.9451741187984799</c:v>
                  </c:pt>
                  <c:pt idx="68">
                    <c:v>1.7722232613765423</c:v>
                  </c:pt>
                  <c:pt idx="69">
                    <c:v>1.8582358677159594</c:v>
                  </c:pt>
                  <c:pt idx="70">
                    <c:v>2.0941471132016249</c:v>
                  </c:pt>
                  <c:pt idx="71">
                    <c:v>1.8240898822844496</c:v>
                  </c:pt>
                  <c:pt idx="72">
                    <c:v>1.985163113674999</c:v>
                  </c:pt>
                  <c:pt idx="73">
                    <c:v>2.0804725578841592</c:v>
                  </c:pt>
                  <c:pt idx="74">
                    <c:v>1.9866972921781814</c:v>
                  </c:pt>
                  <c:pt idx="75">
                    <c:v>1.9762392837282725</c:v>
                  </c:pt>
                  <c:pt idx="76">
                    <c:v>1.9782591000694136</c:v>
                  </c:pt>
                  <c:pt idx="77">
                    <c:v>1.9827382878315625</c:v>
                  </c:pt>
                  <c:pt idx="78">
                    <c:v>2.0040260717436404</c:v>
                  </c:pt>
                  <c:pt idx="79">
                    <c:v>2.0789001058925782</c:v>
                  </c:pt>
                  <c:pt idx="80">
                    <c:v>1.996062878832255</c:v>
                  </c:pt>
                  <c:pt idx="81">
                    <c:v>2.0070838857924831</c:v>
                  </c:pt>
                  <c:pt idx="82">
                    <c:v>2.075261020061574</c:v>
                  </c:pt>
                  <c:pt idx="83">
                    <c:v>1.8920109305780366</c:v>
                  </c:pt>
                  <c:pt idx="84">
                    <c:v>1.7957581199302846</c:v>
                  </c:pt>
                  <c:pt idx="85">
                    <c:v>2.0451628724115642</c:v>
                  </c:pt>
                  <c:pt idx="86">
                    <c:v>1.9023028673007143</c:v>
                  </c:pt>
                  <c:pt idx="87">
                    <c:v>1.9501715637647703</c:v>
                  </c:pt>
                  <c:pt idx="88">
                    <c:v>1.9864222205840265</c:v>
                  </c:pt>
                  <c:pt idx="89">
                    <c:v>1.8635376629069846</c:v>
                  </c:pt>
                  <c:pt idx="90">
                    <c:v>2.0461252725324002</c:v>
                  </c:pt>
                  <c:pt idx="91">
                    <c:v>1.9912552526902052</c:v>
                  </c:pt>
                  <c:pt idx="92">
                    <c:v>2.0174511485578859</c:v>
                  </c:pt>
                  <c:pt idx="93">
                    <c:v>1.9673527657788372</c:v>
                  </c:pt>
                  <c:pt idx="94">
                    <c:v>1.920179360780254</c:v>
                  </c:pt>
                  <c:pt idx="95">
                    <c:v>2.0153948550808769</c:v>
                  </c:pt>
                  <c:pt idx="96">
                    <c:v>2.0682381084258448</c:v>
                  </c:pt>
                  <c:pt idx="97">
                    <c:v>1.9796485183107853</c:v>
                  </c:pt>
                  <c:pt idx="98">
                    <c:v>1.9377038956125183</c:v>
                  </c:pt>
                  <c:pt idx="99">
                    <c:v>1.9395487284789088</c:v>
                  </c:pt>
                </c:numCache>
              </c:numRef>
            </c:minus>
            <c:spPr>
              <a:noFill/>
              <a:ln w="9525" cap="flat" cmpd="sng" algn="ctr">
                <a:solidFill>
                  <a:srgbClr val="4E95D9"/>
                </a:solidFill>
                <a:round/>
              </a:ln>
              <a:effectLst>
                <a:outerShdw blurRad="50800" dist="50800" dir="5400000" algn="ctr" rotWithShape="0">
                  <a:schemeClr val="tx2">
                    <a:lumMod val="50000"/>
                    <a:lumOff val="50000"/>
                  </a:schemeClr>
                </a:outerShdw>
              </a:effectLst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noFill/>
                <a:round/>
              </a:ln>
              <a:effectLst/>
            </c:spPr>
          </c:errBars>
          <c:xVal>
            <c:numRef>
              <c:f>Option!$O$18:$DK$18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[0]!PriceN</c:f>
              <c:numCache>
                <c:formatCode>General</c:formatCode>
                <c:ptCount val="100"/>
                <c:pt idx="0">
                  <c:v>5.7468911502056734</c:v>
                </c:pt>
                <c:pt idx="1">
                  <c:v>9.2867036873590472</c:v>
                </c:pt>
                <c:pt idx="2">
                  <c:v>9.1220853344559405</c:v>
                </c:pt>
                <c:pt idx="3">
                  <c:v>9.0318727755517472</c:v>
                </c:pt>
                <c:pt idx="4">
                  <c:v>9.2889699469452065</c:v>
                </c:pt>
                <c:pt idx="5">
                  <c:v>10.508622009161829</c:v>
                </c:pt>
                <c:pt idx="6">
                  <c:v>10.069891972395627</c:v>
                </c:pt>
                <c:pt idx="7">
                  <c:v>10.084457844819935</c:v>
                </c:pt>
                <c:pt idx="8">
                  <c:v>10.611285045017119</c:v>
                </c:pt>
                <c:pt idx="9">
                  <c:v>10.081666072782888</c:v>
                </c:pt>
                <c:pt idx="10">
                  <c:v>10.558212938641271</c:v>
                </c:pt>
                <c:pt idx="11">
                  <c:v>9.6817093883156637</c:v>
                </c:pt>
                <c:pt idx="12">
                  <c:v>9.9175583403819942</c:v>
                </c:pt>
                <c:pt idx="13">
                  <c:v>9.879270385469523</c:v>
                </c:pt>
                <c:pt idx="14">
                  <c:v>10.122039462912749</c:v>
                </c:pt>
                <c:pt idx="15">
                  <c:v>9.6550163970512717</c:v>
                </c:pt>
                <c:pt idx="16">
                  <c:v>10.084705922950247</c:v>
                </c:pt>
                <c:pt idx="17">
                  <c:v>10.064056401030063</c:v>
                </c:pt>
                <c:pt idx="18">
                  <c:v>9.8596614802910985</c:v>
                </c:pt>
                <c:pt idx="19">
                  <c:v>10.046591585243956</c:v>
                </c:pt>
                <c:pt idx="20">
                  <c:v>10.00948830423278</c:v>
                </c:pt>
                <c:pt idx="21">
                  <c:v>9.810836665851145</c:v>
                </c:pt>
                <c:pt idx="22">
                  <c:v>9.5368603338004743</c:v>
                </c:pt>
                <c:pt idx="23">
                  <c:v>9.0884904491496599</c:v>
                </c:pt>
                <c:pt idx="24">
                  <c:v>9.8033672622610712</c:v>
                </c:pt>
                <c:pt idx="25">
                  <c:v>10.404729987415751</c:v>
                </c:pt>
                <c:pt idx="26">
                  <c:v>9.5711103862935918</c:v>
                </c:pt>
                <c:pt idx="27">
                  <c:v>9.8299156119331812</c:v>
                </c:pt>
                <c:pt idx="28">
                  <c:v>10.812307232537496</c:v>
                </c:pt>
                <c:pt idx="29">
                  <c:v>9.6578462406685261</c:v>
                </c:pt>
                <c:pt idx="30">
                  <c:v>10.50554374807586</c:v>
                </c:pt>
                <c:pt idx="31">
                  <c:v>10.55988688957555</c:v>
                </c:pt>
                <c:pt idx="32">
                  <c:v>10.287362843259411</c:v>
                </c:pt>
                <c:pt idx="33">
                  <c:v>10.17931808424931</c:v>
                </c:pt>
                <c:pt idx="34">
                  <c:v>10.538448283500383</c:v>
                </c:pt>
                <c:pt idx="35">
                  <c:v>10.711902449389342</c:v>
                </c:pt>
                <c:pt idx="36">
                  <c:v>11.266998405435528</c:v>
                </c:pt>
                <c:pt idx="37">
                  <c:v>10.859241272858005</c:v>
                </c:pt>
                <c:pt idx="38">
                  <c:v>11.426395511442395</c:v>
                </c:pt>
                <c:pt idx="39">
                  <c:v>10.857098321048612</c:v>
                </c:pt>
                <c:pt idx="40">
                  <c:v>11.244887996430529</c:v>
                </c:pt>
                <c:pt idx="41">
                  <c:v>11.199386762574289</c:v>
                </c:pt>
                <c:pt idx="42">
                  <c:v>10.89932269949006</c:v>
                </c:pt>
                <c:pt idx="43">
                  <c:v>11.747533649654921</c:v>
                </c:pt>
                <c:pt idx="44">
                  <c:v>11.551039249699807</c:v>
                </c:pt>
                <c:pt idx="45">
                  <c:v>12.048499756583235</c:v>
                </c:pt>
                <c:pt idx="46">
                  <c:v>11.541419259023762</c:v>
                </c:pt>
                <c:pt idx="47">
                  <c:v>11.001942862874863</c:v>
                </c:pt>
                <c:pt idx="48">
                  <c:v>10.239022501141925</c:v>
                </c:pt>
                <c:pt idx="49">
                  <c:v>10.926980819991329</c:v>
                </c:pt>
                <c:pt idx="50">
                  <c:v>11.546527883321749</c:v>
                </c:pt>
                <c:pt idx="51">
                  <c:v>11.907244698898742</c:v>
                </c:pt>
                <c:pt idx="52">
                  <c:v>11.568036316922669</c:v>
                </c:pt>
                <c:pt idx="53">
                  <c:v>11.547914526273992</c:v>
                </c:pt>
                <c:pt idx="54">
                  <c:v>10.631186018913859</c:v>
                </c:pt>
                <c:pt idx="55">
                  <c:v>11.362369028604675</c:v>
                </c:pt>
                <c:pt idx="56">
                  <c:v>12.053144394205836</c:v>
                </c:pt>
                <c:pt idx="57">
                  <c:v>12.167532482885674</c:v>
                </c:pt>
                <c:pt idx="58">
                  <c:v>11.494611955890671</c:v>
                </c:pt>
                <c:pt idx="59">
                  <c:v>10.941203696370186</c:v>
                </c:pt>
                <c:pt idx="60">
                  <c:v>11.521534422412397</c:v>
                </c:pt>
                <c:pt idx="61">
                  <c:v>11.661605540949328</c:v>
                </c:pt>
                <c:pt idx="62">
                  <c:v>11.073143584049948</c:v>
                </c:pt>
                <c:pt idx="63">
                  <c:v>11.120377284964933</c:v>
                </c:pt>
                <c:pt idx="64">
                  <c:v>11.245247885415136</c:v>
                </c:pt>
                <c:pt idx="65">
                  <c:v>10.722001033261687</c:v>
                </c:pt>
                <c:pt idx="66">
                  <c:v>11.000878429001906</c:v>
                </c:pt>
                <c:pt idx="67">
                  <c:v>11.146262778285941</c:v>
                </c:pt>
                <c:pt idx="68">
                  <c:v>11.71641257490433</c:v>
                </c:pt>
                <c:pt idx="69">
                  <c:v>11.703779457917586</c:v>
                </c:pt>
                <c:pt idx="70">
                  <c:v>12.070197346321542</c:v>
                </c:pt>
                <c:pt idx="71">
                  <c:v>11.066076831833122</c:v>
                </c:pt>
                <c:pt idx="72">
                  <c:v>11.751997644671169</c:v>
                </c:pt>
                <c:pt idx="73">
                  <c:v>10.787662556954324</c:v>
                </c:pt>
                <c:pt idx="74">
                  <c:v>10.986583624573221</c:v>
                </c:pt>
                <c:pt idx="75">
                  <c:v>11.324065017600127</c:v>
                </c:pt>
                <c:pt idx="76">
                  <c:v>11.85987666510904</c:v>
                </c:pt>
                <c:pt idx="77">
                  <c:v>11.707296335674052</c:v>
                </c:pt>
                <c:pt idx="78">
                  <c:v>10.982859651422228</c:v>
                </c:pt>
                <c:pt idx="79">
                  <c:v>12.266614213254902</c:v>
                </c:pt>
                <c:pt idx="80">
                  <c:v>12.033208426159471</c:v>
                </c:pt>
                <c:pt idx="81">
                  <c:v>11.981793548552213</c:v>
                </c:pt>
                <c:pt idx="82">
                  <c:v>12.075709464780966</c:v>
                </c:pt>
                <c:pt idx="83">
                  <c:v>12.298134726811851</c:v>
                </c:pt>
                <c:pt idx="84">
                  <c:v>11.678284711446475</c:v>
                </c:pt>
                <c:pt idx="85">
                  <c:v>11.389821855546826</c:v>
                </c:pt>
                <c:pt idx="86">
                  <c:v>11.650766642784204</c:v>
                </c:pt>
                <c:pt idx="87">
                  <c:v>11.756693551495985</c:v>
                </c:pt>
                <c:pt idx="88">
                  <c:v>11.508797098466596</c:v>
                </c:pt>
                <c:pt idx="89">
                  <c:v>12.486229315945872</c:v>
                </c:pt>
                <c:pt idx="90">
                  <c:v>12.269785973665018</c:v>
                </c:pt>
                <c:pt idx="91">
                  <c:v>12.151768164856179</c:v>
                </c:pt>
                <c:pt idx="92">
                  <c:v>12.460492251204258</c:v>
                </c:pt>
                <c:pt idx="93">
                  <c:v>12.08176282739651</c:v>
                </c:pt>
                <c:pt idx="94">
                  <c:v>12.307341717861252</c:v>
                </c:pt>
                <c:pt idx="95">
                  <c:v>10.799113911677303</c:v>
                </c:pt>
                <c:pt idx="96">
                  <c:v>11.420553907591755</c:v>
                </c:pt>
                <c:pt idx="97">
                  <c:v>10.783318920685666</c:v>
                </c:pt>
                <c:pt idx="98">
                  <c:v>11.548411533875855</c:v>
                </c:pt>
                <c:pt idx="99">
                  <c:v>11.682737522767656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B2-4EA9-874F-3D7481BCDC1A}"/>
            </c:ext>
          </c:extLst>
        </c:ser>
        <c:ser>
          <c:idx val="1"/>
          <c:order val="1"/>
          <c:tx>
            <c:v>Réduction de variance</c:v>
          </c:tx>
          <c:spPr>
            <a:ln w="19050" cap="rnd">
              <a:solidFill>
                <a:srgbClr val="8ED973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[0]!ErrVR</c:f>
                <c:numCache>
                  <c:formatCode>General</c:formatCode>
                  <c:ptCount val="100"/>
                  <c:pt idx="0">
                    <c:v>1.5104815964998424</c:v>
                  </c:pt>
                  <c:pt idx="1">
                    <c:v>1.2491598829375234</c:v>
                  </c:pt>
                  <c:pt idx="2">
                    <c:v>1.2537762967454695</c:v>
                  </c:pt>
                  <c:pt idx="3">
                    <c:v>1.1891603911761761</c:v>
                  </c:pt>
                  <c:pt idx="4">
                    <c:v>1.2807652975139432</c:v>
                  </c:pt>
                  <c:pt idx="5">
                    <c:v>1.3362248472202034</c:v>
                  </c:pt>
                  <c:pt idx="6">
                    <c:v>1.2138116075957699</c:v>
                  </c:pt>
                  <c:pt idx="7">
                    <c:v>1.2780009310129314</c:v>
                  </c:pt>
                  <c:pt idx="8">
                    <c:v>1.2464542816501389</c:v>
                  </c:pt>
                  <c:pt idx="9">
                    <c:v>1.1929288819907764</c:v>
                  </c:pt>
                  <c:pt idx="10">
                    <c:v>1.380857533668608</c:v>
                  </c:pt>
                  <c:pt idx="11">
                    <c:v>1.1553116396697496</c:v>
                  </c:pt>
                  <c:pt idx="12">
                    <c:v>1.2245001647177252</c:v>
                  </c:pt>
                  <c:pt idx="13">
                    <c:v>1.1666895570266855</c:v>
                  </c:pt>
                  <c:pt idx="14">
                    <c:v>1.1391164257336521</c:v>
                  </c:pt>
                  <c:pt idx="15">
                    <c:v>1.2137292292102126</c:v>
                  </c:pt>
                  <c:pt idx="16">
                    <c:v>1.1493770498207114</c:v>
                  </c:pt>
                  <c:pt idx="17">
                    <c:v>0.93799414926091584</c:v>
                  </c:pt>
                  <c:pt idx="18">
                    <c:v>1.0733379629538513</c:v>
                  </c:pt>
                  <c:pt idx="19">
                    <c:v>1.0267631133515722</c:v>
                  </c:pt>
                  <c:pt idx="20">
                    <c:v>1.0416758427560922</c:v>
                  </c:pt>
                  <c:pt idx="21">
                    <c:v>1.1649189882901139</c:v>
                  </c:pt>
                  <c:pt idx="22">
                    <c:v>1.0049461889432754</c:v>
                  </c:pt>
                  <c:pt idx="23">
                    <c:v>1.1080616141294681</c:v>
                  </c:pt>
                  <c:pt idx="24">
                    <c:v>1.1121777323244126</c:v>
                  </c:pt>
                  <c:pt idx="25">
                    <c:v>1.0787278861568868</c:v>
                  </c:pt>
                  <c:pt idx="26">
                    <c:v>1.0061253880162047</c:v>
                  </c:pt>
                  <c:pt idx="27">
                    <c:v>0.99770975791654959</c:v>
                  </c:pt>
                  <c:pt idx="28">
                    <c:v>0.94935338942128866</c:v>
                  </c:pt>
                  <c:pt idx="29">
                    <c:v>1.0558917122456191</c:v>
                  </c:pt>
                  <c:pt idx="30">
                    <c:v>1.143954876107617</c:v>
                  </c:pt>
                  <c:pt idx="31">
                    <c:v>1.1780505267313344</c:v>
                  </c:pt>
                  <c:pt idx="32">
                    <c:v>1.303174413582322</c:v>
                  </c:pt>
                  <c:pt idx="33">
                    <c:v>1.2698301212206782</c:v>
                  </c:pt>
                  <c:pt idx="34">
                    <c:v>1.1419379125305367</c:v>
                  </c:pt>
                  <c:pt idx="35">
                    <c:v>1.2816797447934856</c:v>
                  </c:pt>
                  <c:pt idx="36">
                    <c:v>1.361660945759527</c:v>
                  </c:pt>
                  <c:pt idx="37">
                    <c:v>1.1514782245027684</c:v>
                  </c:pt>
                  <c:pt idx="38">
                    <c:v>1.1963550092573765</c:v>
                  </c:pt>
                  <c:pt idx="39">
                    <c:v>1.2245970821437597</c:v>
                  </c:pt>
                  <c:pt idx="40">
                    <c:v>1.2489662213088844</c:v>
                  </c:pt>
                  <c:pt idx="41">
                    <c:v>1.2464017076212546</c:v>
                  </c:pt>
                  <c:pt idx="42">
                    <c:v>1.1972389120312219</c:v>
                  </c:pt>
                  <c:pt idx="43">
                    <c:v>1.2457616799611964</c:v>
                  </c:pt>
                  <c:pt idx="44">
                    <c:v>1.3083854618517339</c:v>
                  </c:pt>
                  <c:pt idx="45">
                    <c:v>1.3997522051639357</c:v>
                  </c:pt>
                  <c:pt idx="46">
                    <c:v>1.3027966676563898</c:v>
                  </c:pt>
                  <c:pt idx="47">
                    <c:v>1.1492942299537707</c:v>
                  </c:pt>
                  <c:pt idx="48">
                    <c:v>1.1910845328155466</c:v>
                  </c:pt>
                  <c:pt idx="49">
                    <c:v>1.1472099780788845</c:v>
                  </c:pt>
                  <c:pt idx="50">
                    <c:v>1.0788707997610354</c:v>
                  </c:pt>
                  <c:pt idx="51">
                    <c:v>1.2736988399390805</c:v>
                  </c:pt>
                  <c:pt idx="52">
                    <c:v>1.2731934144390602</c:v>
                  </c:pt>
                  <c:pt idx="53">
                    <c:v>1.1889636496033027</c:v>
                  </c:pt>
                  <c:pt idx="54">
                    <c:v>1.2027772001497077</c:v>
                  </c:pt>
                  <c:pt idx="55">
                    <c:v>1.1934223090428171</c:v>
                  </c:pt>
                  <c:pt idx="56">
                    <c:v>1.2928780666679602</c:v>
                  </c:pt>
                  <c:pt idx="57">
                    <c:v>1.0766398654492173</c:v>
                  </c:pt>
                  <c:pt idx="58">
                    <c:v>1.2271062762568767</c:v>
                  </c:pt>
                  <c:pt idx="59">
                    <c:v>1.2678300228912831</c:v>
                  </c:pt>
                  <c:pt idx="60">
                    <c:v>1.2795035821970004</c:v>
                  </c:pt>
                  <c:pt idx="61">
                    <c:v>1.3547386554060967</c:v>
                  </c:pt>
                  <c:pt idx="62">
                    <c:v>1.1413883067168147</c:v>
                  </c:pt>
                  <c:pt idx="63">
                    <c:v>1.2550114525849272</c:v>
                  </c:pt>
                  <c:pt idx="64">
                    <c:v>1.1629746596321706</c:v>
                  </c:pt>
                  <c:pt idx="65">
                    <c:v>1.3279555848071014</c:v>
                  </c:pt>
                  <c:pt idx="66">
                    <c:v>1.1368130540271069</c:v>
                  </c:pt>
                  <c:pt idx="67">
                    <c:v>1.0890278377900158</c:v>
                  </c:pt>
                  <c:pt idx="68">
                    <c:v>1.3899000398411063</c:v>
                  </c:pt>
                  <c:pt idx="69">
                    <c:v>1.1625946241869056</c:v>
                  </c:pt>
                  <c:pt idx="70">
                    <c:v>1.2057276077273342</c:v>
                  </c:pt>
                  <c:pt idx="71">
                    <c:v>1.2410847434712484</c:v>
                  </c:pt>
                  <c:pt idx="72">
                    <c:v>1.2195695097932855</c:v>
                  </c:pt>
                  <c:pt idx="73">
                    <c:v>1.1404994189649342</c:v>
                  </c:pt>
                  <c:pt idx="74">
                    <c:v>1.1723775151465243</c:v>
                  </c:pt>
                  <c:pt idx="75">
                    <c:v>1.2467042562025712</c:v>
                  </c:pt>
                  <c:pt idx="76">
                    <c:v>1.2314352913528555</c:v>
                  </c:pt>
                  <c:pt idx="77">
                    <c:v>0.97132630337921222</c:v>
                  </c:pt>
                  <c:pt idx="78">
                    <c:v>1.2917010080891573</c:v>
                  </c:pt>
                  <c:pt idx="79">
                    <c:v>1.1290919368099299</c:v>
                  </c:pt>
                  <c:pt idx="80">
                    <c:v>1.1575385085284571</c:v>
                  </c:pt>
                  <c:pt idx="81">
                    <c:v>1.1328737095167738</c:v>
                  </c:pt>
                  <c:pt idx="82">
                    <c:v>1.274180928779304</c:v>
                  </c:pt>
                  <c:pt idx="83">
                    <c:v>1.2261475481517814</c:v>
                  </c:pt>
                  <c:pt idx="84">
                    <c:v>1.3587987181388648</c:v>
                  </c:pt>
                  <c:pt idx="85">
                    <c:v>1.1849609942267889</c:v>
                  </c:pt>
                  <c:pt idx="86">
                    <c:v>1.1756996966518536</c:v>
                  </c:pt>
                  <c:pt idx="87">
                    <c:v>1.1710647511859533</c:v>
                  </c:pt>
                  <c:pt idx="88">
                    <c:v>1.2874921806336028</c:v>
                  </c:pt>
                  <c:pt idx="89">
                    <c:v>1.290188385255963</c:v>
                  </c:pt>
                  <c:pt idx="90">
                    <c:v>1.1350912571944369</c:v>
                  </c:pt>
                  <c:pt idx="91">
                    <c:v>1.1976736786290838</c:v>
                  </c:pt>
                  <c:pt idx="92">
                    <c:v>1.2857392050168337</c:v>
                  </c:pt>
                  <c:pt idx="93">
                    <c:v>1.368950015514623</c:v>
                  </c:pt>
                  <c:pt idx="94">
                    <c:v>1.3791381613707283</c:v>
                  </c:pt>
                  <c:pt idx="95">
                    <c:v>1.0521679058187596</c:v>
                  </c:pt>
                  <c:pt idx="96">
                    <c:v>1.1867587576936893</c:v>
                  </c:pt>
                  <c:pt idx="97">
                    <c:v>1.258255741296505</c:v>
                  </c:pt>
                  <c:pt idx="98">
                    <c:v>1.2189827150116381</c:v>
                  </c:pt>
                  <c:pt idx="99">
                    <c:v>1.2297308891806307</c:v>
                  </c:pt>
                </c:numCache>
              </c:numRef>
            </c:plus>
            <c:minus>
              <c:numRef>
                <c:f>[0]!ErrVR</c:f>
                <c:numCache>
                  <c:formatCode>General</c:formatCode>
                  <c:ptCount val="100"/>
                  <c:pt idx="0">
                    <c:v>1.5104815964998424</c:v>
                  </c:pt>
                  <c:pt idx="1">
                    <c:v>1.2491598829375234</c:v>
                  </c:pt>
                  <c:pt idx="2">
                    <c:v>1.2537762967454695</c:v>
                  </c:pt>
                  <c:pt idx="3">
                    <c:v>1.1891603911761761</c:v>
                  </c:pt>
                  <c:pt idx="4">
                    <c:v>1.2807652975139432</c:v>
                  </c:pt>
                  <c:pt idx="5">
                    <c:v>1.3362248472202034</c:v>
                  </c:pt>
                  <c:pt idx="6">
                    <c:v>1.2138116075957699</c:v>
                  </c:pt>
                  <c:pt idx="7">
                    <c:v>1.2780009310129314</c:v>
                  </c:pt>
                  <c:pt idx="8">
                    <c:v>1.2464542816501389</c:v>
                  </c:pt>
                  <c:pt idx="9">
                    <c:v>1.1929288819907764</c:v>
                  </c:pt>
                  <c:pt idx="10">
                    <c:v>1.380857533668608</c:v>
                  </c:pt>
                  <c:pt idx="11">
                    <c:v>1.1553116396697496</c:v>
                  </c:pt>
                  <c:pt idx="12">
                    <c:v>1.2245001647177252</c:v>
                  </c:pt>
                  <c:pt idx="13">
                    <c:v>1.1666895570266855</c:v>
                  </c:pt>
                  <c:pt idx="14">
                    <c:v>1.1391164257336521</c:v>
                  </c:pt>
                  <c:pt idx="15">
                    <c:v>1.2137292292102126</c:v>
                  </c:pt>
                  <c:pt idx="16">
                    <c:v>1.1493770498207114</c:v>
                  </c:pt>
                  <c:pt idx="17">
                    <c:v>0.93799414926091584</c:v>
                  </c:pt>
                  <c:pt idx="18">
                    <c:v>1.0733379629538513</c:v>
                  </c:pt>
                  <c:pt idx="19">
                    <c:v>1.0267631133515722</c:v>
                  </c:pt>
                  <c:pt idx="20">
                    <c:v>1.0416758427560922</c:v>
                  </c:pt>
                  <c:pt idx="21">
                    <c:v>1.1649189882901139</c:v>
                  </c:pt>
                  <c:pt idx="22">
                    <c:v>1.0049461889432754</c:v>
                  </c:pt>
                  <c:pt idx="23">
                    <c:v>1.1080616141294681</c:v>
                  </c:pt>
                  <c:pt idx="24">
                    <c:v>1.1121777323244126</c:v>
                  </c:pt>
                  <c:pt idx="25">
                    <c:v>1.0787278861568868</c:v>
                  </c:pt>
                  <c:pt idx="26">
                    <c:v>1.0061253880162047</c:v>
                  </c:pt>
                  <c:pt idx="27">
                    <c:v>0.99770975791654959</c:v>
                  </c:pt>
                  <c:pt idx="28">
                    <c:v>0.94935338942128866</c:v>
                  </c:pt>
                  <c:pt idx="29">
                    <c:v>1.0558917122456191</c:v>
                  </c:pt>
                  <c:pt idx="30">
                    <c:v>1.143954876107617</c:v>
                  </c:pt>
                  <c:pt idx="31">
                    <c:v>1.1780505267313344</c:v>
                  </c:pt>
                  <c:pt idx="32">
                    <c:v>1.303174413582322</c:v>
                  </c:pt>
                  <c:pt idx="33">
                    <c:v>1.2698301212206782</c:v>
                  </c:pt>
                  <c:pt idx="34">
                    <c:v>1.1419379125305367</c:v>
                  </c:pt>
                  <c:pt idx="35">
                    <c:v>1.2816797447934856</c:v>
                  </c:pt>
                  <c:pt idx="36">
                    <c:v>1.361660945759527</c:v>
                  </c:pt>
                  <c:pt idx="37">
                    <c:v>1.1514782245027684</c:v>
                  </c:pt>
                  <c:pt idx="38">
                    <c:v>1.1963550092573765</c:v>
                  </c:pt>
                  <c:pt idx="39">
                    <c:v>1.2245970821437597</c:v>
                  </c:pt>
                  <c:pt idx="40">
                    <c:v>1.2489662213088844</c:v>
                  </c:pt>
                  <c:pt idx="41">
                    <c:v>1.2464017076212546</c:v>
                  </c:pt>
                  <c:pt idx="42">
                    <c:v>1.1972389120312219</c:v>
                  </c:pt>
                  <c:pt idx="43">
                    <c:v>1.2457616799611964</c:v>
                  </c:pt>
                  <c:pt idx="44">
                    <c:v>1.3083854618517339</c:v>
                  </c:pt>
                  <c:pt idx="45">
                    <c:v>1.3997522051639357</c:v>
                  </c:pt>
                  <c:pt idx="46">
                    <c:v>1.3027966676563898</c:v>
                  </c:pt>
                  <c:pt idx="47">
                    <c:v>1.1492942299537707</c:v>
                  </c:pt>
                  <c:pt idx="48">
                    <c:v>1.1910845328155466</c:v>
                  </c:pt>
                  <c:pt idx="49">
                    <c:v>1.1472099780788845</c:v>
                  </c:pt>
                  <c:pt idx="50">
                    <c:v>1.0788707997610354</c:v>
                  </c:pt>
                  <c:pt idx="51">
                    <c:v>1.2736988399390805</c:v>
                  </c:pt>
                  <c:pt idx="52">
                    <c:v>1.2731934144390602</c:v>
                  </c:pt>
                  <c:pt idx="53">
                    <c:v>1.1889636496033027</c:v>
                  </c:pt>
                  <c:pt idx="54">
                    <c:v>1.2027772001497077</c:v>
                  </c:pt>
                  <c:pt idx="55">
                    <c:v>1.1934223090428171</c:v>
                  </c:pt>
                  <c:pt idx="56">
                    <c:v>1.2928780666679602</c:v>
                  </c:pt>
                  <c:pt idx="57">
                    <c:v>1.0766398654492173</c:v>
                  </c:pt>
                  <c:pt idx="58">
                    <c:v>1.2271062762568767</c:v>
                  </c:pt>
                  <c:pt idx="59">
                    <c:v>1.2678300228912831</c:v>
                  </c:pt>
                  <c:pt idx="60">
                    <c:v>1.2795035821970004</c:v>
                  </c:pt>
                  <c:pt idx="61">
                    <c:v>1.3547386554060967</c:v>
                  </c:pt>
                  <c:pt idx="62">
                    <c:v>1.1413883067168147</c:v>
                  </c:pt>
                  <c:pt idx="63">
                    <c:v>1.2550114525849272</c:v>
                  </c:pt>
                  <c:pt idx="64">
                    <c:v>1.1629746596321706</c:v>
                  </c:pt>
                  <c:pt idx="65">
                    <c:v>1.3279555848071014</c:v>
                  </c:pt>
                  <c:pt idx="66">
                    <c:v>1.1368130540271069</c:v>
                  </c:pt>
                  <c:pt idx="67">
                    <c:v>1.0890278377900158</c:v>
                  </c:pt>
                  <c:pt idx="68">
                    <c:v>1.3899000398411063</c:v>
                  </c:pt>
                  <c:pt idx="69">
                    <c:v>1.1625946241869056</c:v>
                  </c:pt>
                  <c:pt idx="70">
                    <c:v>1.2057276077273342</c:v>
                  </c:pt>
                  <c:pt idx="71">
                    <c:v>1.2410847434712484</c:v>
                  </c:pt>
                  <c:pt idx="72">
                    <c:v>1.2195695097932855</c:v>
                  </c:pt>
                  <c:pt idx="73">
                    <c:v>1.1404994189649342</c:v>
                  </c:pt>
                  <c:pt idx="74">
                    <c:v>1.1723775151465243</c:v>
                  </c:pt>
                  <c:pt idx="75">
                    <c:v>1.2467042562025712</c:v>
                  </c:pt>
                  <c:pt idx="76">
                    <c:v>1.2314352913528555</c:v>
                  </c:pt>
                  <c:pt idx="77">
                    <c:v>0.97132630337921222</c:v>
                  </c:pt>
                  <c:pt idx="78">
                    <c:v>1.2917010080891573</c:v>
                  </c:pt>
                  <c:pt idx="79">
                    <c:v>1.1290919368099299</c:v>
                  </c:pt>
                  <c:pt idx="80">
                    <c:v>1.1575385085284571</c:v>
                  </c:pt>
                  <c:pt idx="81">
                    <c:v>1.1328737095167738</c:v>
                  </c:pt>
                  <c:pt idx="82">
                    <c:v>1.274180928779304</c:v>
                  </c:pt>
                  <c:pt idx="83">
                    <c:v>1.2261475481517814</c:v>
                  </c:pt>
                  <c:pt idx="84">
                    <c:v>1.3587987181388648</c:v>
                  </c:pt>
                  <c:pt idx="85">
                    <c:v>1.1849609942267889</c:v>
                  </c:pt>
                  <c:pt idx="86">
                    <c:v>1.1756996966518536</c:v>
                  </c:pt>
                  <c:pt idx="87">
                    <c:v>1.1710647511859533</c:v>
                  </c:pt>
                  <c:pt idx="88">
                    <c:v>1.2874921806336028</c:v>
                  </c:pt>
                  <c:pt idx="89">
                    <c:v>1.290188385255963</c:v>
                  </c:pt>
                  <c:pt idx="90">
                    <c:v>1.1350912571944369</c:v>
                  </c:pt>
                  <c:pt idx="91">
                    <c:v>1.1976736786290838</c:v>
                  </c:pt>
                  <c:pt idx="92">
                    <c:v>1.2857392050168337</c:v>
                  </c:pt>
                  <c:pt idx="93">
                    <c:v>1.368950015514623</c:v>
                  </c:pt>
                  <c:pt idx="94">
                    <c:v>1.3791381613707283</c:v>
                  </c:pt>
                  <c:pt idx="95">
                    <c:v>1.0521679058187596</c:v>
                  </c:pt>
                  <c:pt idx="96">
                    <c:v>1.1867587576936893</c:v>
                  </c:pt>
                  <c:pt idx="97">
                    <c:v>1.258255741296505</c:v>
                  </c:pt>
                  <c:pt idx="98">
                    <c:v>1.2189827150116381</c:v>
                  </c:pt>
                  <c:pt idx="99">
                    <c:v>1.2297308891806307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>
                <a:outerShdw blurRad="50800" dist="50800" dir="5400000" algn="ctr" rotWithShape="0">
                  <a:schemeClr val="accent6">
                    <a:lumMod val="60000"/>
                    <a:lumOff val="40000"/>
                  </a:schemeClr>
                </a:outerShdw>
              </a:effectLst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noFill/>
                <a:round/>
              </a:ln>
              <a:effectLst/>
            </c:spPr>
          </c:errBars>
          <c:xVal>
            <c:numRef>
              <c:f>Option!$O$18:$DJ$18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[0]!PriceNVR</c:f>
              <c:numCache>
                <c:formatCode>General</c:formatCode>
                <c:ptCount val="100"/>
                <c:pt idx="0">
                  <c:v>7.297092001508287</c:v>
                </c:pt>
                <c:pt idx="1">
                  <c:v>8.8541923630655504</c:v>
                </c:pt>
                <c:pt idx="2">
                  <c:v>9.7631596819562638</c:v>
                </c:pt>
                <c:pt idx="3">
                  <c:v>10.136683360644231</c:v>
                </c:pt>
                <c:pt idx="4">
                  <c:v>9.7862271394833105</c:v>
                </c:pt>
                <c:pt idx="5">
                  <c:v>10.127201441438183</c:v>
                </c:pt>
                <c:pt idx="6">
                  <c:v>10.157789648732971</c:v>
                </c:pt>
                <c:pt idx="7">
                  <c:v>10.617678474988754</c:v>
                </c:pt>
                <c:pt idx="8">
                  <c:v>10.98146709353894</c:v>
                </c:pt>
                <c:pt idx="9">
                  <c:v>10.468195575562946</c:v>
                </c:pt>
                <c:pt idx="10">
                  <c:v>11.419169370496556</c:v>
                </c:pt>
                <c:pt idx="11">
                  <c:v>10.968031073562535</c:v>
                </c:pt>
                <c:pt idx="12">
                  <c:v>11.069600308187843</c:v>
                </c:pt>
                <c:pt idx="13">
                  <c:v>11.327823714523316</c:v>
                </c:pt>
                <c:pt idx="14">
                  <c:v>11.151384718644307</c:v>
                </c:pt>
                <c:pt idx="15">
                  <c:v>11.923989154878843</c:v>
                </c:pt>
                <c:pt idx="16">
                  <c:v>11.60585265028851</c:v>
                </c:pt>
                <c:pt idx="17">
                  <c:v>11.079593926391864</c:v>
                </c:pt>
                <c:pt idx="18">
                  <c:v>11.158230197531296</c:v>
                </c:pt>
                <c:pt idx="19">
                  <c:v>11.282715426319607</c:v>
                </c:pt>
                <c:pt idx="20">
                  <c:v>11.228203314780894</c:v>
                </c:pt>
                <c:pt idx="21">
                  <c:v>11.746706324021481</c:v>
                </c:pt>
                <c:pt idx="22">
                  <c:v>11.622255842642044</c:v>
                </c:pt>
                <c:pt idx="23">
                  <c:v>11.275007893547407</c:v>
                </c:pt>
                <c:pt idx="24">
                  <c:v>11.320925392409764</c:v>
                </c:pt>
                <c:pt idx="25">
                  <c:v>11.225212650053111</c:v>
                </c:pt>
                <c:pt idx="26">
                  <c:v>10.943965870345792</c:v>
                </c:pt>
                <c:pt idx="27">
                  <c:v>11.036120274187876</c:v>
                </c:pt>
                <c:pt idx="28">
                  <c:v>11.211705106943127</c:v>
                </c:pt>
                <c:pt idx="29">
                  <c:v>11.647736838357504</c:v>
                </c:pt>
                <c:pt idx="30">
                  <c:v>11.8517729725917</c:v>
                </c:pt>
                <c:pt idx="31">
                  <c:v>11.917509295831298</c:v>
                </c:pt>
                <c:pt idx="32">
                  <c:v>12.318003627496797</c:v>
                </c:pt>
                <c:pt idx="33">
                  <c:v>12.19501794142991</c:v>
                </c:pt>
                <c:pt idx="34">
                  <c:v>11.97427928675314</c:v>
                </c:pt>
                <c:pt idx="35">
                  <c:v>11.891389963822146</c:v>
                </c:pt>
                <c:pt idx="36">
                  <c:v>11.722237238341451</c:v>
                </c:pt>
                <c:pt idx="37">
                  <c:v>11.980609909971994</c:v>
                </c:pt>
                <c:pt idx="38">
                  <c:v>11.845516620479074</c:v>
                </c:pt>
                <c:pt idx="39">
                  <c:v>12.436132951870267</c:v>
                </c:pt>
                <c:pt idx="40">
                  <c:v>12.667442752932228</c:v>
                </c:pt>
                <c:pt idx="41">
                  <c:v>12.711124662082581</c:v>
                </c:pt>
                <c:pt idx="42">
                  <c:v>12.750427172715893</c:v>
                </c:pt>
                <c:pt idx="43">
                  <c:v>12.94271171066762</c:v>
                </c:pt>
                <c:pt idx="44">
                  <c:v>12.723680093568378</c:v>
                </c:pt>
                <c:pt idx="45">
                  <c:v>12.615024237546258</c:v>
                </c:pt>
                <c:pt idx="46">
                  <c:v>12.909764415636936</c:v>
                </c:pt>
                <c:pt idx="47">
                  <c:v>12.200650212428119</c:v>
                </c:pt>
                <c:pt idx="48">
                  <c:v>12.755939277920632</c:v>
                </c:pt>
                <c:pt idx="49">
                  <c:v>12.913804565389091</c:v>
                </c:pt>
                <c:pt idx="50">
                  <c:v>12.474108666585581</c:v>
                </c:pt>
                <c:pt idx="51">
                  <c:v>13.176541439895278</c:v>
                </c:pt>
                <c:pt idx="52">
                  <c:v>12.740843838721926</c:v>
                </c:pt>
                <c:pt idx="53">
                  <c:v>13.273696411289015</c:v>
                </c:pt>
                <c:pt idx="54">
                  <c:v>12.804601963366826</c:v>
                </c:pt>
                <c:pt idx="55">
                  <c:v>12.171037580548033</c:v>
                </c:pt>
                <c:pt idx="56">
                  <c:v>12.894410153609078</c:v>
                </c:pt>
                <c:pt idx="57">
                  <c:v>12.442450927508567</c:v>
                </c:pt>
                <c:pt idx="58">
                  <c:v>12.764237398238894</c:v>
                </c:pt>
                <c:pt idx="59">
                  <c:v>12.918731525887699</c:v>
                </c:pt>
                <c:pt idx="60">
                  <c:v>12.350141094648924</c:v>
                </c:pt>
                <c:pt idx="61">
                  <c:v>13.349520940926515</c:v>
                </c:pt>
                <c:pt idx="62">
                  <c:v>12.314995454136421</c:v>
                </c:pt>
                <c:pt idx="63">
                  <c:v>13.230020073998091</c:v>
                </c:pt>
                <c:pt idx="64">
                  <c:v>12.762728683037956</c:v>
                </c:pt>
                <c:pt idx="65">
                  <c:v>12.719920076154171</c:v>
                </c:pt>
                <c:pt idx="66">
                  <c:v>13.19846511115478</c:v>
                </c:pt>
                <c:pt idx="67">
                  <c:v>12.830766604587282</c:v>
                </c:pt>
                <c:pt idx="68">
                  <c:v>12.942447628670807</c:v>
                </c:pt>
                <c:pt idx="69">
                  <c:v>13.156319459777983</c:v>
                </c:pt>
                <c:pt idx="70">
                  <c:v>12.839371679191167</c:v>
                </c:pt>
                <c:pt idx="71">
                  <c:v>13.027894952100398</c:v>
                </c:pt>
                <c:pt idx="72">
                  <c:v>13.185764371434486</c:v>
                </c:pt>
                <c:pt idx="73">
                  <c:v>12.481785090404276</c:v>
                </c:pt>
                <c:pt idx="74">
                  <c:v>12.964975294927852</c:v>
                </c:pt>
                <c:pt idx="75">
                  <c:v>12.667083936116803</c:v>
                </c:pt>
                <c:pt idx="76">
                  <c:v>13.021342903701163</c:v>
                </c:pt>
                <c:pt idx="77">
                  <c:v>12.56141189315832</c:v>
                </c:pt>
                <c:pt idx="78">
                  <c:v>13.039955006036736</c:v>
                </c:pt>
                <c:pt idx="79">
                  <c:v>12.990877344129517</c:v>
                </c:pt>
                <c:pt idx="80">
                  <c:v>13.44441754120362</c:v>
                </c:pt>
                <c:pt idx="81">
                  <c:v>12.58992811697537</c:v>
                </c:pt>
                <c:pt idx="82">
                  <c:v>13.605313666263038</c:v>
                </c:pt>
                <c:pt idx="83">
                  <c:v>12.953414540247397</c:v>
                </c:pt>
                <c:pt idx="84">
                  <c:v>13.040494746031388</c:v>
                </c:pt>
                <c:pt idx="85">
                  <c:v>13.072399518492247</c:v>
                </c:pt>
                <c:pt idx="86">
                  <c:v>12.934079514120507</c:v>
                </c:pt>
                <c:pt idx="87">
                  <c:v>13.226851720068295</c:v>
                </c:pt>
                <c:pt idx="88">
                  <c:v>13.339055204936791</c:v>
                </c:pt>
                <c:pt idx="89">
                  <c:v>13.504148980767383</c:v>
                </c:pt>
                <c:pt idx="90">
                  <c:v>12.836655343234151</c:v>
                </c:pt>
                <c:pt idx="91">
                  <c:v>13.320351328095178</c:v>
                </c:pt>
                <c:pt idx="92">
                  <c:v>13.24380211242206</c:v>
                </c:pt>
                <c:pt idx="93">
                  <c:v>13.34721438784741</c:v>
                </c:pt>
                <c:pt idx="94">
                  <c:v>12.969145576482827</c:v>
                </c:pt>
                <c:pt idx="95">
                  <c:v>12.132340397736755</c:v>
                </c:pt>
                <c:pt idx="96">
                  <c:v>12.848617912572537</c:v>
                </c:pt>
                <c:pt idx="97">
                  <c:v>12.478118339473026</c:v>
                </c:pt>
                <c:pt idx="98">
                  <c:v>12.986245908721457</c:v>
                </c:pt>
                <c:pt idx="99">
                  <c:v>12.936786938188554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B2-4EA9-874F-3D7481BCDC1A}"/>
            </c:ext>
          </c:extLst>
        </c:ser>
        <c:ser>
          <c:idx val="2"/>
          <c:order val="2"/>
          <c:tx>
            <c:v>Diffusion bridge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(Option!$O$18,Option!$DJ$18)</c:f>
              <c:numCache>
                <c:formatCode>General</c:formatCode>
                <c:ptCount val="2"/>
                <c:pt idx="0">
                  <c:v>1</c:v>
                </c:pt>
                <c:pt idx="1">
                  <c:v>100</c:v>
                </c:pt>
              </c:numCache>
            </c:numRef>
          </c:xVal>
          <c:yVal>
            <c:numRef>
              <c:f>[0]!Limit</c:f>
              <c:numCache>
                <c:formatCode>General</c:formatCode>
                <c:ptCount val="2"/>
                <c:pt idx="0">
                  <c:v>14.264527278845131</c:v>
                </c:pt>
                <c:pt idx="1">
                  <c:v>14.264527278845131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B2-4EA9-874F-3D7481BCD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309712"/>
        <c:axId val="776242400"/>
      </c:scatterChart>
      <c:valAx>
        <c:axId val="593309712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242400"/>
        <c:crosses val="autoZero"/>
        <c:crossBetween val="midCat"/>
      </c:valAx>
      <c:valAx>
        <c:axId val="77624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309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Prix</a:t>
            </a:r>
            <a:r>
              <a:rPr lang="en-GB" baseline="0"/>
              <a:t> en fonction de 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MC classique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Option!$O$18:$DJ$18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[0]!PT</c:f>
              <c:numCache>
                <c:formatCode>General</c:formatCode>
                <c:ptCount val="100"/>
                <c:pt idx="0">
                  <c:v>0.1168273752276766</c:v>
                </c:pt>
                <c:pt idx="1">
                  <c:v>0.23365475045535319</c:v>
                </c:pt>
                <c:pt idx="2">
                  <c:v>0.35048212568302972</c:v>
                </c:pt>
                <c:pt idx="3">
                  <c:v>0.46730950091070639</c:v>
                </c:pt>
                <c:pt idx="4">
                  <c:v>0.58413687613838239</c:v>
                </c:pt>
                <c:pt idx="5">
                  <c:v>0.70096425136605944</c:v>
                </c:pt>
                <c:pt idx="6">
                  <c:v>0.81779162659373605</c:v>
                </c:pt>
                <c:pt idx="7">
                  <c:v>0.93461900182141278</c:v>
                </c:pt>
                <c:pt idx="8">
                  <c:v>1.0514463770490887</c:v>
                </c:pt>
                <c:pt idx="9">
                  <c:v>1.1682737522767648</c:v>
                </c:pt>
                <c:pt idx="10">
                  <c:v>1.2851011275044426</c:v>
                </c:pt>
                <c:pt idx="11">
                  <c:v>1.4019285027321189</c:v>
                </c:pt>
                <c:pt idx="12">
                  <c:v>1.5187558779597947</c:v>
                </c:pt>
                <c:pt idx="13">
                  <c:v>1.6355832531874721</c:v>
                </c:pt>
                <c:pt idx="14">
                  <c:v>1.7524106284151482</c:v>
                </c:pt>
                <c:pt idx="15">
                  <c:v>1.8692380036428256</c:v>
                </c:pt>
                <c:pt idx="16">
                  <c:v>1.9860653788705016</c:v>
                </c:pt>
                <c:pt idx="17">
                  <c:v>2.1028927540981774</c:v>
                </c:pt>
                <c:pt idx="18">
                  <c:v>2.2197201293258537</c:v>
                </c:pt>
                <c:pt idx="19">
                  <c:v>2.3365475045535296</c:v>
                </c:pt>
                <c:pt idx="20">
                  <c:v>2.4533748797812072</c:v>
                </c:pt>
                <c:pt idx="21">
                  <c:v>2.5702022550088852</c:v>
                </c:pt>
                <c:pt idx="22">
                  <c:v>2.6870296302365597</c:v>
                </c:pt>
                <c:pt idx="23">
                  <c:v>2.8038570054642378</c:v>
                </c:pt>
                <c:pt idx="24">
                  <c:v>2.9206843806919141</c:v>
                </c:pt>
                <c:pt idx="25">
                  <c:v>3.0375117559195894</c:v>
                </c:pt>
                <c:pt idx="26">
                  <c:v>3.1543391311472662</c:v>
                </c:pt>
                <c:pt idx="27">
                  <c:v>3.2711665063749442</c:v>
                </c:pt>
                <c:pt idx="28">
                  <c:v>3.3879938816026192</c:v>
                </c:pt>
                <c:pt idx="29">
                  <c:v>3.5048212568302963</c:v>
                </c:pt>
                <c:pt idx="30">
                  <c:v>3.6216486320579739</c:v>
                </c:pt>
                <c:pt idx="31">
                  <c:v>3.7384760072856511</c:v>
                </c:pt>
                <c:pt idx="32">
                  <c:v>3.8553033825133269</c:v>
                </c:pt>
                <c:pt idx="33">
                  <c:v>3.9721307577410032</c:v>
                </c:pt>
                <c:pt idx="34">
                  <c:v>4.0889581329686777</c:v>
                </c:pt>
                <c:pt idx="35">
                  <c:v>4.2057855081963549</c:v>
                </c:pt>
                <c:pt idx="36">
                  <c:v>4.3226128834240303</c:v>
                </c:pt>
                <c:pt idx="37">
                  <c:v>4.4394402586517074</c:v>
                </c:pt>
                <c:pt idx="38">
                  <c:v>4.5562676338793864</c:v>
                </c:pt>
                <c:pt idx="39">
                  <c:v>4.6730950091070591</c:v>
                </c:pt>
                <c:pt idx="40">
                  <c:v>4.7899223843347416</c:v>
                </c:pt>
                <c:pt idx="41">
                  <c:v>4.9067497595624143</c:v>
                </c:pt>
                <c:pt idx="42">
                  <c:v>5.0235771347900915</c:v>
                </c:pt>
                <c:pt idx="43">
                  <c:v>5.1404045100177704</c:v>
                </c:pt>
                <c:pt idx="44">
                  <c:v>5.2572318852454449</c:v>
                </c:pt>
                <c:pt idx="45">
                  <c:v>5.3740592604731194</c:v>
                </c:pt>
                <c:pt idx="46">
                  <c:v>5.4908866357007975</c:v>
                </c:pt>
                <c:pt idx="47">
                  <c:v>5.6077140109284755</c:v>
                </c:pt>
                <c:pt idx="48">
                  <c:v>5.7245413861561518</c:v>
                </c:pt>
                <c:pt idx="49">
                  <c:v>5.8413687613838281</c:v>
                </c:pt>
                <c:pt idx="50">
                  <c:v>5.9581961366115062</c:v>
                </c:pt>
                <c:pt idx="51">
                  <c:v>6.0750235118391789</c:v>
                </c:pt>
                <c:pt idx="52">
                  <c:v>6.1918508870668569</c:v>
                </c:pt>
                <c:pt idx="53">
                  <c:v>6.3086782622945323</c:v>
                </c:pt>
                <c:pt idx="54">
                  <c:v>6.4255056375222095</c:v>
                </c:pt>
                <c:pt idx="55">
                  <c:v>6.5423330127498884</c:v>
                </c:pt>
                <c:pt idx="56">
                  <c:v>6.6591603879775585</c:v>
                </c:pt>
                <c:pt idx="57">
                  <c:v>6.7759877632052383</c:v>
                </c:pt>
                <c:pt idx="58">
                  <c:v>6.8928151384329182</c:v>
                </c:pt>
                <c:pt idx="59">
                  <c:v>7.0096425136605927</c:v>
                </c:pt>
                <c:pt idx="60">
                  <c:v>7.1264698888882725</c:v>
                </c:pt>
                <c:pt idx="61">
                  <c:v>7.2432972641159479</c:v>
                </c:pt>
                <c:pt idx="62">
                  <c:v>7.3601246393436215</c:v>
                </c:pt>
                <c:pt idx="63">
                  <c:v>7.4769520145713022</c:v>
                </c:pt>
                <c:pt idx="64">
                  <c:v>7.5937793897989714</c:v>
                </c:pt>
                <c:pt idx="65">
                  <c:v>7.7106067650266539</c:v>
                </c:pt>
                <c:pt idx="66">
                  <c:v>7.8274341402543257</c:v>
                </c:pt>
                <c:pt idx="67">
                  <c:v>7.9442615154820064</c:v>
                </c:pt>
                <c:pt idx="68">
                  <c:v>8.0610888907096818</c:v>
                </c:pt>
                <c:pt idx="69">
                  <c:v>8.1779162659373554</c:v>
                </c:pt>
                <c:pt idx="70">
                  <c:v>8.2947436411650344</c:v>
                </c:pt>
                <c:pt idx="71">
                  <c:v>8.4115710163927098</c:v>
                </c:pt>
                <c:pt idx="72">
                  <c:v>8.5283983916203905</c:v>
                </c:pt>
                <c:pt idx="73">
                  <c:v>8.6452257668480605</c:v>
                </c:pt>
                <c:pt idx="74">
                  <c:v>8.7620531420757359</c:v>
                </c:pt>
                <c:pt idx="75">
                  <c:v>8.8788805173034149</c:v>
                </c:pt>
                <c:pt idx="76">
                  <c:v>8.995707892531092</c:v>
                </c:pt>
                <c:pt idx="77">
                  <c:v>9.1125352677587728</c:v>
                </c:pt>
                <c:pt idx="78">
                  <c:v>9.2293626429864499</c:v>
                </c:pt>
                <c:pt idx="79">
                  <c:v>9.3461900182141182</c:v>
                </c:pt>
                <c:pt idx="80">
                  <c:v>9.4630173934417954</c:v>
                </c:pt>
                <c:pt idx="81">
                  <c:v>9.5798447686694832</c:v>
                </c:pt>
                <c:pt idx="82">
                  <c:v>9.6966721438971479</c:v>
                </c:pt>
                <c:pt idx="83">
                  <c:v>9.8134995191248287</c:v>
                </c:pt>
                <c:pt idx="84">
                  <c:v>9.930326894352504</c:v>
                </c:pt>
                <c:pt idx="85">
                  <c:v>10.047154269580183</c:v>
                </c:pt>
                <c:pt idx="86">
                  <c:v>10.163981644807857</c:v>
                </c:pt>
                <c:pt idx="87">
                  <c:v>10.280809020035541</c:v>
                </c:pt>
                <c:pt idx="88">
                  <c:v>10.397636395263216</c:v>
                </c:pt>
                <c:pt idx="89">
                  <c:v>10.51446377049089</c:v>
                </c:pt>
                <c:pt idx="90">
                  <c:v>10.631291145718569</c:v>
                </c:pt>
                <c:pt idx="91">
                  <c:v>10.748118520946239</c:v>
                </c:pt>
                <c:pt idx="92">
                  <c:v>10.864945896173923</c:v>
                </c:pt>
                <c:pt idx="93">
                  <c:v>10.981773271401595</c:v>
                </c:pt>
                <c:pt idx="94">
                  <c:v>11.09860064662927</c:v>
                </c:pt>
                <c:pt idx="95">
                  <c:v>11.215428021856951</c:v>
                </c:pt>
                <c:pt idx="96">
                  <c:v>11.332255397084618</c:v>
                </c:pt>
                <c:pt idx="97">
                  <c:v>11.449082772312304</c:v>
                </c:pt>
                <c:pt idx="98">
                  <c:v>11.565910147539977</c:v>
                </c:pt>
                <c:pt idx="99">
                  <c:v>11.682737522767656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E1-4FF6-88EA-CD6CAAFA7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309712"/>
        <c:axId val="776242400"/>
      </c:scatterChart>
      <c:valAx>
        <c:axId val="593309712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242400"/>
        <c:crosses val="autoZero"/>
        <c:crossBetween val="midCat"/>
      </c:valAx>
      <c:valAx>
        <c:axId val="77624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309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aseline="0"/>
              <a:t>Delta en fonction de 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MC classique</c:v>
          </c:tx>
          <c:spPr>
            <a:ln w="19050" cap="rnd">
              <a:solidFill>
                <a:srgbClr val="F2AA84"/>
              </a:solidFill>
              <a:round/>
            </a:ln>
            <a:effectLst/>
          </c:spPr>
          <c:marker>
            <c:symbol val="none"/>
          </c:marker>
          <c:xVal>
            <c:numRef>
              <c:f>Option!$O$18:$DJ$18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[0]!DT</c:f>
              <c:numCache>
                <c:formatCode>General</c:formatCode>
                <c:ptCount val="100"/>
                <c:pt idx="0">
                  <c:v>0.11682737522750275</c:v>
                </c:pt>
                <c:pt idx="1">
                  <c:v>0.11682737522750275</c:v>
                </c:pt>
                <c:pt idx="2">
                  <c:v>0.1168273752277178</c:v>
                </c:pt>
                <c:pt idx="3">
                  <c:v>0.11682737522750275</c:v>
                </c:pt>
                <c:pt idx="4">
                  <c:v>0.11682737522753557</c:v>
                </c:pt>
                <c:pt idx="5">
                  <c:v>0.1168273752277178</c:v>
                </c:pt>
                <c:pt idx="6">
                  <c:v>0.11682737522772942</c:v>
                </c:pt>
                <c:pt idx="7">
                  <c:v>0.11682737522750275</c:v>
                </c:pt>
                <c:pt idx="8">
                  <c:v>0.11682737522791846</c:v>
                </c:pt>
                <c:pt idx="9">
                  <c:v>0.11682737522753557</c:v>
                </c:pt>
                <c:pt idx="10">
                  <c:v>0.11682737522764582</c:v>
                </c:pt>
                <c:pt idx="11">
                  <c:v>0.1168273752277178</c:v>
                </c:pt>
                <c:pt idx="12">
                  <c:v>0.11682737522758688</c:v>
                </c:pt>
                <c:pt idx="13">
                  <c:v>0.11682737522772942</c:v>
                </c:pt>
                <c:pt idx="14">
                  <c:v>0.11682737522777083</c:v>
                </c:pt>
                <c:pt idx="15">
                  <c:v>0.11682737522750275</c:v>
                </c:pt>
                <c:pt idx="16">
                  <c:v>0.11682737522799878</c:v>
                </c:pt>
                <c:pt idx="17">
                  <c:v>0.11682737522791846</c:v>
                </c:pt>
                <c:pt idx="18">
                  <c:v>0.11682737522758135</c:v>
                </c:pt>
                <c:pt idx="19">
                  <c:v>0.11682737522753557</c:v>
                </c:pt>
                <c:pt idx="20">
                  <c:v>0.11682737522778452</c:v>
                </c:pt>
                <c:pt idx="21">
                  <c:v>0.11682737522764582</c:v>
                </c:pt>
                <c:pt idx="22">
                  <c:v>0.11682737522768333</c:v>
                </c:pt>
                <c:pt idx="23">
                  <c:v>0.1168273752277178</c:v>
                </c:pt>
                <c:pt idx="24">
                  <c:v>0.11682737522750146</c:v>
                </c:pt>
                <c:pt idx="25">
                  <c:v>0.11682737522758688</c:v>
                </c:pt>
                <c:pt idx="26">
                  <c:v>0.11682737522767386</c:v>
                </c:pt>
                <c:pt idx="27">
                  <c:v>0.11682737522772942</c:v>
                </c:pt>
                <c:pt idx="28">
                  <c:v>0.1168273752276127</c:v>
                </c:pt>
                <c:pt idx="29">
                  <c:v>0.11682737522777083</c:v>
                </c:pt>
                <c:pt idx="30">
                  <c:v>0.11682737522730853</c:v>
                </c:pt>
                <c:pt idx="31">
                  <c:v>0.11682737522750275</c:v>
                </c:pt>
                <c:pt idx="32">
                  <c:v>0.11682737522763993</c:v>
                </c:pt>
                <c:pt idx="33">
                  <c:v>0.11682737522799878</c:v>
                </c:pt>
                <c:pt idx="34">
                  <c:v>0.116827375227358</c:v>
                </c:pt>
                <c:pt idx="35">
                  <c:v>0.11682737522791846</c:v>
                </c:pt>
                <c:pt idx="36">
                  <c:v>0.11682737522798418</c:v>
                </c:pt>
                <c:pt idx="37">
                  <c:v>0.11682737522758135</c:v>
                </c:pt>
                <c:pt idx="38">
                  <c:v>0.11682737522746509</c:v>
                </c:pt>
                <c:pt idx="39">
                  <c:v>0.11682737522753557</c:v>
                </c:pt>
                <c:pt idx="40">
                  <c:v>0.11682737522746017</c:v>
                </c:pt>
                <c:pt idx="41">
                  <c:v>0.11682737522778452</c:v>
                </c:pt>
                <c:pt idx="42">
                  <c:v>0.1168273752278866</c:v>
                </c:pt>
                <c:pt idx="43">
                  <c:v>0.11682737522764582</c:v>
                </c:pt>
                <c:pt idx="44">
                  <c:v>0.11682737522764067</c:v>
                </c:pt>
                <c:pt idx="45">
                  <c:v>0.11682737522768333</c:v>
                </c:pt>
                <c:pt idx="46">
                  <c:v>0.11682737522771362</c:v>
                </c:pt>
                <c:pt idx="47">
                  <c:v>0.1168273752277178</c:v>
                </c:pt>
                <c:pt idx="48">
                  <c:v>0.11682737522788199</c:v>
                </c:pt>
                <c:pt idx="49">
                  <c:v>0.11682737522750146</c:v>
                </c:pt>
                <c:pt idx="50">
                  <c:v>0.1168273752275405</c:v>
                </c:pt>
                <c:pt idx="51">
                  <c:v>0.11682737522758688</c:v>
                </c:pt>
                <c:pt idx="52">
                  <c:v>0.11682737522779439</c:v>
                </c:pt>
                <c:pt idx="53">
                  <c:v>0.11682737522767386</c:v>
                </c:pt>
                <c:pt idx="54">
                  <c:v>0.11682737522762586</c:v>
                </c:pt>
                <c:pt idx="55">
                  <c:v>0.11682737522772942</c:v>
                </c:pt>
                <c:pt idx="56">
                  <c:v>0.11682737522756427</c:v>
                </c:pt>
                <c:pt idx="57">
                  <c:v>0.1168273752276127</c:v>
                </c:pt>
                <c:pt idx="58">
                  <c:v>0.11682737522752884</c:v>
                </c:pt>
                <c:pt idx="59">
                  <c:v>0.11682737522777083</c:v>
                </c:pt>
                <c:pt idx="60">
                  <c:v>0.11682737522796545</c:v>
                </c:pt>
                <c:pt idx="61">
                  <c:v>0.11682737522730853</c:v>
                </c:pt>
                <c:pt idx="62">
                  <c:v>0.11682737522783147</c:v>
                </c:pt>
                <c:pt idx="63">
                  <c:v>0.11682737522750275</c:v>
                </c:pt>
                <c:pt idx="64">
                  <c:v>0.11682737522776467</c:v>
                </c:pt>
                <c:pt idx="65">
                  <c:v>0.11682737522763993</c:v>
                </c:pt>
                <c:pt idx="66">
                  <c:v>0.11682737522777209</c:v>
                </c:pt>
                <c:pt idx="67">
                  <c:v>0.11682737522799878</c:v>
                </c:pt>
                <c:pt idx="68">
                  <c:v>0.11682737522722926</c:v>
                </c:pt>
                <c:pt idx="69">
                  <c:v>0.116827375227358</c:v>
                </c:pt>
                <c:pt idx="70">
                  <c:v>0.11682737522780653</c:v>
                </c:pt>
                <c:pt idx="71">
                  <c:v>0.11682737522791846</c:v>
                </c:pt>
                <c:pt idx="72">
                  <c:v>0.11682737522818371</c:v>
                </c:pt>
                <c:pt idx="73">
                  <c:v>0.11682737522798418</c:v>
                </c:pt>
                <c:pt idx="74">
                  <c:v>0.11682737522761139</c:v>
                </c:pt>
                <c:pt idx="75">
                  <c:v>0.11682737522758135</c:v>
                </c:pt>
                <c:pt idx="76">
                  <c:v>0.11682737522779484</c:v>
                </c:pt>
                <c:pt idx="77">
                  <c:v>0.11682737522746509</c:v>
                </c:pt>
                <c:pt idx="78">
                  <c:v>0.11682737522773408</c:v>
                </c:pt>
                <c:pt idx="79">
                  <c:v>0.11682737522753557</c:v>
                </c:pt>
                <c:pt idx="80">
                  <c:v>0.11682737522712168</c:v>
                </c:pt>
                <c:pt idx="81">
                  <c:v>0.11682737522746017</c:v>
                </c:pt>
                <c:pt idx="82">
                  <c:v>0.11682737522790008</c:v>
                </c:pt>
                <c:pt idx="83">
                  <c:v>0.11682737522778452</c:v>
                </c:pt>
                <c:pt idx="84">
                  <c:v>0.11682737522745601</c:v>
                </c:pt>
                <c:pt idx="85">
                  <c:v>0.1168273752278866</c:v>
                </c:pt>
                <c:pt idx="86">
                  <c:v>0.11682737522770117</c:v>
                </c:pt>
                <c:pt idx="87">
                  <c:v>0.11682737522764582</c:v>
                </c:pt>
                <c:pt idx="88">
                  <c:v>0.11682737522792501</c:v>
                </c:pt>
                <c:pt idx="89">
                  <c:v>0.11682737522764067</c:v>
                </c:pt>
                <c:pt idx="90">
                  <c:v>0.11682737522775191</c:v>
                </c:pt>
                <c:pt idx="91">
                  <c:v>0.11682737522768333</c:v>
                </c:pt>
                <c:pt idx="92">
                  <c:v>0.11682737522772044</c:v>
                </c:pt>
                <c:pt idx="93">
                  <c:v>0.11682737522771362</c:v>
                </c:pt>
                <c:pt idx="94">
                  <c:v>0.11682737522784013</c:v>
                </c:pt>
                <c:pt idx="95">
                  <c:v>0.1168273752277178</c:v>
                </c:pt>
                <c:pt idx="96">
                  <c:v>0.11682737522792672</c:v>
                </c:pt>
                <c:pt idx="97">
                  <c:v>0.11682737522788199</c:v>
                </c:pt>
                <c:pt idx="98">
                  <c:v>0.11682737522760543</c:v>
                </c:pt>
                <c:pt idx="99">
                  <c:v>0.11682737522750146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D4-47F3-827E-0784BD021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309712"/>
        <c:axId val="776242400"/>
      </c:scatterChart>
      <c:valAx>
        <c:axId val="593309712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242400"/>
        <c:crosses val="autoZero"/>
        <c:crossBetween val="midCat"/>
      </c:valAx>
      <c:valAx>
        <c:axId val="77624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latin typeface="Aptos Narrow" panose="020B0004020202020204" pitchFamily="34" charset="0"/>
                  </a:rPr>
                  <a:t>Δ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#,##0.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309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Surface</a:t>
            </a:r>
            <a:r>
              <a:rPr lang="en-GB" baseline="0"/>
              <a:t> de delta de l'option</a:t>
            </a:r>
            <a:endParaRPr lang="en-GB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Option!$AN$36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Option!$AO$35:$AY$35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[0]!Delta0</c:f>
              <c:numCache>
                <c:formatCode>General</c:formatCode>
                <c:ptCount val="11"/>
                <c:pt idx="0">
                  <c:v>0.11682737522750275</c:v>
                </c:pt>
                <c:pt idx="1">
                  <c:v>0.11157256761325032</c:v>
                </c:pt>
                <c:pt idx="2">
                  <c:v>0.10592237015403755</c:v>
                </c:pt>
                <c:pt idx="3">
                  <c:v>9.9801234981978612E-2</c:v>
                </c:pt>
                <c:pt idx="4">
                  <c:v>9.310535024166279E-2</c:v>
                </c:pt>
                <c:pt idx="5">
                  <c:v>8.5685820174220245E-2</c:v>
                </c:pt>
                <c:pt idx="6">
                  <c:v>7.7314155165606732E-2</c:v>
                </c:pt>
                <c:pt idx="7">
                  <c:v>6.7606796442010078E-2</c:v>
                </c:pt>
                <c:pt idx="8">
                  <c:v>5.583558782342346E-2</c:v>
                </c:pt>
                <c:pt idx="9">
                  <c:v>4.0059749784757626E-2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53-4D59-83C9-CF9D02E45B4E}"/>
            </c:ext>
          </c:extLst>
        </c:ser>
        <c:ser>
          <c:idx val="1"/>
          <c:order val="1"/>
          <c:tx>
            <c:strRef>
              <c:f>Option!$AN$37</c:f>
              <c:strCache>
                <c:ptCount val="1"/>
                <c:pt idx="0">
                  <c:v>20</c:v>
                </c:pt>
              </c:strCache>
            </c:strRef>
          </c:tx>
          <c:cat>
            <c:numRef>
              <c:f>Option!$AO$35:$AY$35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[0]!Delta20</c:f>
              <c:numCache>
                <c:formatCode>General</c:formatCode>
                <c:ptCount val="11"/>
                <c:pt idx="0">
                  <c:v>0.11682737522753557</c:v>
                </c:pt>
                <c:pt idx="1">
                  <c:v>0.11157256761328795</c:v>
                </c:pt>
                <c:pt idx="2">
                  <c:v>0.1059223701540767</c:v>
                </c:pt>
                <c:pt idx="3">
                  <c:v>9.9801234981620662E-2</c:v>
                </c:pt>
                <c:pt idx="4">
                  <c:v>9.3105350241610194E-2</c:v>
                </c:pt>
                <c:pt idx="5">
                  <c:v>8.5685820174020336E-2</c:v>
                </c:pt>
                <c:pt idx="6">
                  <c:v>7.7314155165357001E-2</c:v>
                </c:pt>
                <c:pt idx="7">
                  <c:v>6.7606796441861489E-2</c:v>
                </c:pt>
                <c:pt idx="8">
                  <c:v>5.5835587823139118E-2</c:v>
                </c:pt>
                <c:pt idx="9">
                  <c:v>4.0059749784131751E-2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53-4D59-83C9-CF9D02E45B4E}"/>
            </c:ext>
          </c:extLst>
        </c:ser>
        <c:ser>
          <c:idx val="2"/>
          <c:order val="2"/>
          <c:tx>
            <c:strRef>
              <c:f>Option!$AN$38</c:f>
              <c:strCache>
                <c:ptCount val="1"/>
                <c:pt idx="0">
                  <c:v>40</c:v>
                </c:pt>
              </c:strCache>
            </c:strRef>
          </c:tx>
          <c:cat>
            <c:numRef>
              <c:f>Option!$AO$35:$AY$35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[0]!Delta40</c:f>
              <c:numCache>
                <c:formatCode>General</c:formatCode>
                <c:ptCount val="11"/>
                <c:pt idx="0">
                  <c:v>0.11682737522753557</c:v>
                </c:pt>
                <c:pt idx="1">
                  <c:v>0.11157256761328795</c:v>
                </c:pt>
                <c:pt idx="2">
                  <c:v>0.1059223701540767</c:v>
                </c:pt>
                <c:pt idx="3">
                  <c:v>9.9801234981620662E-2</c:v>
                </c:pt>
                <c:pt idx="4">
                  <c:v>9.3105350241610194E-2</c:v>
                </c:pt>
                <c:pt idx="5">
                  <c:v>8.5685820174020336E-2</c:v>
                </c:pt>
                <c:pt idx="6">
                  <c:v>7.7314155165357001E-2</c:v>
                </c:pt>
                <c:pt idx="7">
                  <c:v>6.7606796441861489E-2</c:v>
                </c:pt>
                <c:pt idx="8">
                  <c:v>5.5835587823139118E-2</c:v>
                </c:pt>
                <c:pt idx="9">
                  <c:v>4.0059749784131751E-2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53-4D59-83C9-CF9D02E45B4E}"/>
            </c:ext>
          </c:extLst>
        </c:ser>
        <c:ser>
          <c:idx val="3"/>
          <c:order val="3"/>
          <c:tx>
            <c:strRef>
              <c:f>Option!$AN$39</c:f>
              <c:strCache>
                <c:ptCount val="1"/>
                <c:pt idx="0">
                  <c:v>60</c:v>
                </c:pt>
              </c:strCache>
            </c:strRef>
          </c:tx>
          <c:cat>
            <c:numRef>
              <c:f>Option!$AO$35:$AY$35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[0]!Delta60</c:f>
              <c:numCache>
                <c:formatCode>General</c:formatCode>
                <c:ptCount val="11"/>
                <c:pt idx="0">
                  <c:v>0.11682737522777083</c:v>
                </c:pt>
                <c:pt idx="1">
                  <c:v>0.11157256761336976</c:v>
                </c:pt>
                <c:pt idx="2">
                  <c:v>0.1059223701542597</c:v>
                </c:pt>
                <c:pt idx="3">
                  <c:v>9.9801234982024215E-2</c:v>
                </c:pt>
                <c:pt idx="4">
                  <c:v>9.3105350241491761E-2</c:v>
                </c:pt>
                <c:pt idx="5">
                  <c:v>8.5685820173944396E-2</c:v>
                </c:pt>
                <c:pt idx="6">
                  <c:v>7.7314155165775833E-2</c:v>
                </c:pt>
                <c:pt idx="7">
                  <c:v>6.7606796441763553E-2</c:v>
                </c:pt>
                <c:pt idx="8">
                  <c:v>5.5835587823137266E-2</c:v>
                </c:pt>
                <c:pt idx="9">
                  <c:v>4.0059749784453695E-2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53-4D59-83C9-CF9D02E45B4E}"/>
            </c:ext>
          </c:extLst>
        </c:ser>
        <c:ser>
          <c:idx val="4"/>
          <c:order val="4"/>
          <c:tx>
            <c:strRef>
              <c:f>Option!$AN$40</c:f>
              <c:strCache>
                <c:ptCount val="1"/>
                <c:pt idx="0">
                  <c:v>80</c:v>
                </c:pt>
              </c:strCache>
            </c:strRef>
          </c:tx>
          <c:cat>
            <c:numRef>
              <c:f>Option!$AO$35:$AY$35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[0]!Delta80</c:f>
              <c:numCache>
                <c:formatCode>General</c:formatCode>
                <c:ptCount val="11"/>
                <c:pt idx="0">
                  <c:v>0.11682737522753557</c:v>
                </c:pt>
                <c:pt idx="1">
                  <c:v>0.11157256761328795</c:v>
                </c:pt>
                <c:pt idx="2">
                  <c:v>0.1059223701540767</c:v>
                </c:pt>
                <c:pt idx="3">
                  <c:v>9.9801234981620662E-2</c:v>
                </c:pt>
                <c:pt idx="4">
                  <c:v>9.3105350241610194E-2</c:v>
                </c:pt>
                <c:pt idx="5">
                  <c:v>8.5685820174020336E-2</c:v>
                </c:pt>
                <c:pt idx="6">
                  <c:v>7.7314155165357001E-2</c:v>
                </c:pt>
                <c:pt idx="7">
                  <c:v>6.7606796441861489E-2</c:v>
                </c:pt>
                <c:pt idx="8">
                  <c:v>5.5835587823139118E-2</c:v>
                </c:pt>
                <c:pt idx="9">
                  <c:v>4.0059749784131751E-2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53-4D59-83C9-CF9D02E45B4E}"/>
            </c:ext>
          </c:extLst>
        </c:ser>
        <c:ser>
          <c:idx val="5"/>
          <c:order val="5"/>
          <c:tx>
            <c:strRef>
              <c:f>Option!$AN$41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Option!$AO$35:$AY$35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[0]!Delta100</c:f>
              <c:numCache>
                <c:formatCode>General</c:formatCode>
                <c:ptCount val="11"/>
                <c:pt idx="0">
                  <c:v>0.11682737522750146</c:v>
                </c:pt>
                <c:pt idx="1">
                  <c:v>0.11157256761307763</c:v>
                </c:pt>
                <c:pt idx="2">
                  <c:v>0.10592237015430017</c:v>
                </c:pt>
                <c:pt idx="3">
                  <c:v>9.9801234981630807E-2</c:v>
                </c:pt>
                <c:pt idx="4">
                  <c:v>9.3105350241542359E-2</c:v>
                </c:pt>
                <c:pt idx="5">
                  <c:v>8.5685820173995453E-2</c:v>
                </c:pt>
                <c:pt idx="6">
                  <c:v>7.7314155165880721E-2</c:v>
                </c:pt>
                <c:pt idx="7">
                  <c:v>6.7606796441900124E-2</c:v>
                </c:pt>
                <c:pt idx="8">
                  <c:v>5.5835587823118461E-2</c:v>
                </c:pt>
                <c:pt idx="9">
                  <c:v>4.0059749784362664E-2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53-4D59-83C9-CF9D02E45B4E}"/>
            </c:ext>
          </c:extLst>
        </c:ser>
        <c:ser>
          <c:idx val="6"/>
          <c:order val="6"/>
          <c:tx>
            <c:strRef>
              <c:f>Option!$AN$42</c:f>
              <c:strCache>
                <c:ptCount val="1"/>
                <c:pt idx="0">
                  <c:v>120</c:v>
                </c:pt>
              </c:strCache>
            </c:strRef>
          </c:tx>
          <c:cat>
            <c:numRef>
              <c:f>Option!$AO$35:$AY$35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[0]!Delta120</c:f>
              <c:numCache>
                <c:formatCode>General</c:formatCode>
                <c:ptCount val="11"/>
                <c:pt idx="0">
                  <c:v>0.11682737522777083</c:v>
                </c:pt>
                <c:pt idx="1">
                  <c:v>0.11157256761336976</c:v>
                </c:pt>
                <c:pt idx="2">
                  <c:v>0.1059223701542597</c:v>
                </c:pt>
                <c:pt idx="3">
                  <c:v>9.9801234982024215E-2</c:v>
                </c:pt>
                <c:pt idx="4">
                  <c:v>9.3105350241491761E-2</c:v>
                </c:pt>
                <c:pt idx="5">
                  <c:v>8.5685820173944396E-2</c:v>
                </c:pt>
                <c:pt idx="6">
                  <c:v>7.7314155165775833E-2</c:v>
                </c:pt>
                <c:pt idx="7">
                  <c:v>6.7606796441763553E-2</c:v>
                </c:pt>
                <c:pt idx="8">
                  <c:v>5.5835587823137266E-2</c:v>
                </c:pt>
                <c:pt idx="9">
                  <c:v>4.0059749784453695E-2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53-4D59-83C9-CF9D02E45B4E}"/>
            </c:ext>
          </c:extLst>
        </c:ser>
        <c:ser>
          <c:idx val="7"/>
          <c:order val="7"/>
          <c:tx>
            <c:strRef>
              <c:f>Option!$AN$43</c:f>
              <c:strCache>
                <c:ptCount val="1"/>
                <c:pt idx="0">
                  <c:v>140</c:v>
                </c:pt>
              </c:strCache>
            </c:strRef>
          </c:tx>
          <c:cat>
            <c:numRef>
              <c:f>Option!$AO$35:$AY$35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[0]!Delta140</c:f>
              <c:numCache>
                <c:formatCode>General</c:formatCode>
                <c:ptCount val="11"/>
                <c:pt idx="0">
                  <c:v>0.116827375227358</c:v>
                </c:pt>
                <c:pt idx="1">
                  <c:v>0.11157256761282099</c:v>
                </c:pt>
                <c:pt idx="2">
                  <c:v>0.1059223701541854</c:v>
                </c:pt>
                <c:pt idx="3">
                  <c:v>9.9801234981671386E-2</c:v>
                </c:pt>
                <c:pt idx="4">
                  <c:v>9.3105350241909551E-2</c:v>
                </c:pt>
                <c:pt idx="5">
                  <c:v>8.568582017444587E-2</c:v>
                </c:pt>
                <c:pt idx="6">
                  <c:v>7.731415516574934E-2</c:v>
                </c:pt>
                <c:pt idx="7">
                  <c:v>6.7606796441740016E-2</c:v>
                </c:pt>
                <c:pt idx="8">
                  <c:v>5.5835587823467848E-2</c:v>
                </c:pt>
                <c:pt idx="9">
                  <c:v>4.005974978453529E-2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53-4D59-83C9-CF9D02E45B4E}"/>
            </c:ext>
          </c:extLst>
        </c:ser>
        <c:ser>
          <c:idx val="8"/>
          <c:order val="8"/>
          <c:tx>
            <c:strRef>
              <c:f>Option!$AN$44</c:f>
              <c:strCache>
                <c:ptCount val="1"/>
                <c:pt idx="0">
                  <c:v>160</c:v>
                </c:pt>
              </c:strCache>
            </c:strRef>
          </c:tx>
          <c:cat>
            <c:numRef>
              <c:f>Option!$AO$35:$AY$35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[0]!Delta160</c:f>
              <c:numCache>
                <c:formatCode>General</c:formatCode>
                <c:ptCount val="11"/>
                <c:pt idx="0">
                  <c:v>0.11682737522753557</c:v>
                </c:pt>
                <c:pt idx="1">
                  <c:v>0.11157256761328795</c:v>
                </c:pt>
                <c:pt idx="2">
                  <c:v>0.1059223701540767</c:v>
                </c:pt>
                <c:pt idx="3">
                  <c:v>9.9801234981620662E-2</c:v>
                </c:pt>
                <c:pt idx="4">
                  <c:v>9.3105350241610194E-2</c:v>
                </c:pt>
                <c:pt idx="5">
                  <c:v>8.5685820174020336E-2</c:v>
                </c:pt>
                <c:pt idx="6">
                  <c:v>7.7314155165357001E-2</c:v>
                </c:pt>
                <c:pt idx="7">
                  <c:v>6.7606796441861489E-2</c:v>
                </c:pt>
                <c:pt idx="8">
                  <c:v>5.5835587823139118E-2</c:v>
                </c:pt>
                <c:pt idx="9">
                  <c:v>4.0059749784131751E-2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53-4D59-83C9-CF9D02E45B4E}"/>
            </c:ext>
          </c:extLst>
        </c:ser>
        <c:ser>
          <c:idx val="9"/>
          <c:order val="9"/>
          <c:tx>
            <c:strRef>
              <c:f>Option!$AN$45</c:f>
              <c:strCache>
                <c:ptCount val="1"/>
                <c:pt idx="0">
                  <c:v>180</c:v>
                </c:pt>
              </c:strCache>
            </c:strRef>
          </c:tx>
          <c:cat>
            <c:numRef>
              <c:f>Option!$AO$35:$AY$35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[0]!Delta180</c:f>
              <c:numCache>
                <c:formatCode>General</c:formatCode>
                <c:ptCount val="11"/>
                <c:pt idx="0">
                  <c:v>0.11682737522764067</c:v>
                </c:pt>
                <c:pt idx="1">
                  <c:v>0.11157256761327053</c:v>
                </c:pt>
                <c:pt idx="2">
                  <c:v>0.10592237015422201</c:v>
                </c:pt>
                <c:pt idx="3">
                  <c:v>9.9801234982050457E-2</c:v>
                </c:pt>
                <c:pt idx="4">
                  <c:v>9.3105350241535476E-2</c:v>
                </c:pt>
                <c:pt idx="5">
                  <c:v>8.5685820174170618E-2</c:v>
                </c:pt>
                <c:pt idx="6">
                  <c:v>7.7314155165845735E-2</c:v>
                </c:pt>
                <c:pt idx="7">
                  <c:v>6.7606796441851594E-2</c:v>
                </c:pt>
                <c:pt idx="8">
                  <c:v>5.5835587823467016E-2</c:v>
                </c:pt>
                <c:pt idx="9">
                  <c:v>4.005974978447558E-2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253-4D59-83C9-CF9D02E45B4E}"/>
            </c:ext>
          </c:extLst>
        </c:ser>
        <c:ser>
          <c:idx val="10"/>
          <c:order val="10"/>
          <c:tx>
            <c:strRef>
              <c:f>Option!$AN$46</c:f>
              <c:strCache>
                <c:ptCount val="1"/>
                <c:pt idx="0">
                  <c:v>200</c:v>
                </c:pt>
              </c:strCache>
            </c:strRef>
          </c:tx>
          <c:cat>
            <c:numRef>
              <c:f>Option!$AO$35:$AY$35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[0]!Delta200</c:f>
              <c:numCache>
                <c:formatCode>General</c:formatCode>
                <c:ptCount val="11"/>
                <c:pt idx="0">
                  <c:v>0.11682737522750146</c:v>
                </c:pt>
                <c:pt idx="1">
                  <c:v>0.11157256761307763</c:v>
                </c:pt>
                <c:pt idx="2">
                  <c:v>0.10592237015430017</c:v>
                </c:pt>
                <c:pt idx="3">
                  <c:v>9.9801234981630807E-2</c:v>
                </c:pt>
                <c:pt idx="4">
                  <c:v>9.3105350241542359E-2</c:v>
                </c:pt>
                <c:pt idx="5">
                  <c:v>8.5685820173995453E-2</c:v>
                </c:pt>
                <c:pt idx="6">
                  <c:v>7.7314155165880721E-2</c:v>
                </c:pt>
                <c:pt idx="7">
                  <c:v>6.7606796441900124E-2</c:v>
                </c:pt>
                <c:pt idx="8">
                  <c:v>5.5835587823118461E-2</c:v>
                </c:pt>
                <c:pt idx="9">
                  <c:v>4.0059749784362664E-2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253-4D59-83C9-CF9D02E45B4E}"/>
            </c:ext>
          </c:extLst>
        </c:ser>
        <c:bandFmts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715271103"/>
        <c:axId val="715275423"/>
        <c:axId val="715781455"/>
      </c:surface3DChart>
      <c:catAx>
        <c:axId val="7152711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275423"/>
        <c:crosses val="autoZero"/>
        <c:auto val="1"/>
        <c:lblAlgn val="ctr"/>
        <c:lblOffset val="100"/>
        <c:noMultiLvlLbl val="0"/>
      </c:catAx>
      <c:valAx>
        <c:axId val="715275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latin typeface="Aptos Narrow" panose="020B0004020202020204" pitchFamily="34" charset="0"/>
                  </a:rPr>
                  <a:t>Δ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271103"/>
        <c:crosses val="autoZero"/>
        <c:crossBetween val="midCat"/>
      </c:valAx>
      <c:serAx>
        <c:axId val="715781455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27542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Surface</a:t>
            </a:r>
            <a:r>
              <a:rPr lang="en-GB" baseline="0"/>
              <a:t> de prix de l'option</a:t>
            </a:r>
            <a:endParaRPr lang="en-GB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Option!$N$36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Option!$O$35:$Y$35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[0]!Price0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2D-4747-A907-A47DFB0B9D38}"/>
            </c:ext>
          </c:extLst>
        </c:ser>
        <c:ser>
          <c:idx val="1"/>
          <c:order val="1"/>
          <c:tx>
            <c:strRef>
              <c:f>Option!$N$37</c:f>
              <c:strCache>
                <c:ptCount val="1"/>
                <c:pt idx="0">
                  <c:v>20</c:v>
                </c:pt>
              </c:strCache>
            </c:strRef>
          </c:tx>
          <c:cat>
            <c:numRef>
              <c:f>Option!$O$35:$Y$35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[0]!Price20</c:f>
              <c:numCache>
                <c:formatCode>General</c:formatCode>
                <c:ptCount val="11"/>
                <c:pt idx="0">
                  <c:v>2.3365475045535296</c:v>
                </c:pt>
                <c:pt idx="1">
                  <c:v>2.2314513522638992</c:v>
                </c:pt>
                <c:pt idx="2">
                  <c:v>2.1184474030818925</c:v>
                </c:pt>
                <c:pt idx="3">
                  <c:v>1.9960246996377835</c:v>
                </c:pt>
                <c:pt idx="4">
                  <c:v>1.8621070048301949</c:v>
                </c:pt>
                <c:pt idx="5">
                  <c:v>1.7137164034827947</c:v>
                </c:pt>
                <c:pt idx="6">
                  <c:v>1.5462831033158291</c:v>
                </c:pt>
                <c:pt idx="7">
                  <c:v>1.3521359288348125</c:v>
                </c:pt>
                <c:pt idx="8">
                  <c:v>1.1167117564644991</c:v>
                </c:pt>
                <c:pt idx="9">
                  <c:v>0.80119499568745567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2D-4747-A907-A47DFB0B9D38}"/>
            </c:ext>
          </c:extLst>
        </c:ser>
        <c:ser>
          <c:idx val="2"/>
          <c:order val="2"/>
          <c:tx>
            <c:strRef>
              <c:f>Option!$N$38</c:f>
              <c:strCache>
                <c:ptCount val="1"/>
                <c:pt idx="0">
                  <c:v>40</c:v>
                </c:pt>
              </c:strCache>
            </c:strRef>
          </c:tx>
          <c:cat>
            <c:numRef>
              <c:f>Option!$O$35:$Y$35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[0]!Price40</c:f>
              <c:numCache>
                <c:formatCode>General</c:formatCode>
                <c:ptCount val="11"/>
                <c:pt idx="0">
                  <c:v>4.6730950091070591</c:v>
                </c:pt>
                <c:pt idx="1">
                  <c:v>4.4629027045277985</c:v>
                </c:pt>
                <c:pt idx="2">
                  <c:v>4.236894806163785</c:v>
                </c:pt>
                <c:pt idx="3">
                  <c:v>3.992049399275567</c:v>
                </c:pt>
                <c:pt idx="4">
                  <c:v>3.7242140096603897</c:v>
                </c:pt>
                <c:pt idx="5">
                  <c:v>3.4274328069655895</c:v>
                </c:pt>
                <c:pt idx="6">
                  <c:v>3.0925662066316582</c:v>
                </c:pt>
                <c:pt idx="7">
                  <c:v>2.704271857669625</c:v>
                </c:pt>
                <c:pt idx="8">
                  <c:v>2.2334235129289981</c:v>
                </c:pt>
                <c:pt idx="9">
                  <c:v>1.6023899913749113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2D-4747-A907-A47DFB0B9D38}"/>
            </c:ext>
          </c:extLst>
        </c:ser>
        <c:ser>
          <c:idx val="3"/>
          <c:order val="3"/>
          <c:tx>
            <c:strRef>
              <c:f>Option!$N$39</c:f>
              <c:strCache>
                <c:ptCount val="1"/>
                <c:pt idx="0">
                  <c:v>60</c:v>
                </c:pt>
              </c:strCache>
            </c:strRef>
          </c:tx>
          <c:cat>
            <c:numRef>
              <c:f>Option!$O$35:$Y$35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[0]!Price60</c:f>
              <c:numCache>
                <c:formatCode>General</c:formatCode>
                <c:ptCount val="11"/>
                <c:pt idx="0">
                  <c:v>7.0096425136605927</c:v>
                </c:pt>
                <c:pt idx="1">
                  <c:v>6.6943540567916875</c:v>
                </c:pt>
                <c:pt idx="2">
                  <c:v>6.3553422092456744</c:v>
                </c:pt>
                <c:pt idx="3">
                  <c:v>5.9880740989133496</c:v>
                </c:pt>
                <c:pt idx="4">
                  <c:v>5.5863210144905819</c:v>
                </c:pt>
                <c:pt idx="5">
                  <c:v>5.1411492104483845</c:v>
                </c:pt>
                <c:pt idx="6">
                  <c:v>4.6388493099474823</c:v>
                </c:pt>
                <c:pt idx="7">
                  <c:v>4.056407786504435</c:v>
                </c:pt>
                <c:pt idx="8">
                  <c:v>3.3501352693934989</c:v>
                </c:pt>
                <c:pt idx="9">
                  <c:v>2.4035849870623602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2D-4747-A907-A47DFB0B9D38}"/>
            </c:ext>
          </c:extLst>
        </c:ser>
        <c:ser>
          <c:idx val="4"/>
          <c:order val="4"/>
          <c:tx>
            <c:strRef>
              <c:f>Option!$N$40</c:f>
              <c:strCache>
                <c:ptCount val="1"/>
                <c:pt idx="0">
                  <c:v>80</c:v>
                </c:pt>
              </c:strCache>
            </c:strRef>
          </c:tx>
          <c:cat>
            <c:numRef>
              <c:f>Option!$O$35:$Y$35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[0]!Price80</c:f>
              <c:numCache>
                <c:formatCode>General</c:formatCode>
                <c:ptCount val="11"/>
                <c:pt idx="0">
                  <c:v>9.3461900182141182</c:v>
                </c:pt>
                <c:pt idx="1">
                  <c:v>8.9258054090555969</c:v>
                </c:pt>
                <c:pt idx="2">
                  <c:v>8.47378961232757</c:v>
                </c:pt>
                <c:pt idx="3">
                  <c:v>7.984098798551134</c:v>
                </c:pt>
                <c:pt idx="4">
                  <c:v>7.4484280193207795</c:v>
                </c:pt>
                <c:pt idx="5">
                  <c:v>6.854865613931179</c:v>
                </c:pt>
                <c:pt idx="6">
                  <c:v>6.1851324132633163</c:v>
                </c:pt>
                <c:pt idx="7">
                  <c:v>5.4085437153392499</c:v>
                </c:pt>
                <c:pt idx="8">
                  <c:v>4.4668470258579962</c:v>
                </c:pt>
                <c:pt idx="9">
                  <c:v>3.2047799827498227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2D-4747-A907-A47DFB0B9D38}"/>
            </c:ext>
          </c:extLst>
        </c:ser>
        <c:ser>
          <c:idx val="5"/>
          <c:order val="5"/>
          <c:tx>
            <c:strRef>
              <c:f>Option!$N$41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Option!$O$35:$Y$35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[0]!Price100</c:f>
              <c:numCache>
                <c:formatCode>General</c:formatCode>
                <c:ptCount val="11"/>
                <c:pt idx="0">
                  <c:v>11.682737522767656</c:v>
                </c:pt>
                <c:pt idx="1">
                  <c:v>11.157256761319488</c:v>
                </c:pt>
                <c:pt idx="2">
                  <c:v>10.592237015409452</c:v>
                </c:pt>
                <c:pt idx="3">
                  <c:v>9.9801234981889166</c:v>
                </c:pt>
                <c:pt idx="4">
                  <c:v>9.3105350241509761</c:v>
                </c:pt>
                <c:pt idx="5">
                  <c:v>8.5685820174139806</c:v>
                </c:pt>
                <c:pt idx="6">
                  <c:v>7.7314155165791405</c:v>
                </c:pt>
                <c:pt idx="7">
                  <c:v>6.760679644174064</c:v>
                </c:pt>
                <c:pt idx="8">
                  <c:v>5.5835587823224975</c:v>
                </c:pt>
                <c:pt idx="9">
                  <c:v>4.0059749784372727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2D-4747-A907-A47DFB0B9D38}"/>
            </c:ext>
          </c:extLst>
        </c:ser>
        <c:ser>
          <c:idx val="6"/>
          <c:order val="6"/>
          <c:tx>
            <c:strRef>
              <c:f>Option!$N$42</c:f>
              <c:strCache>
                <c:ptCount val="1"/>
                <c:pt idx="0">
                  <c:v>120</c:v>
                </c:pt>
              </c:strCache>
            </c:strRef>
          </c:tx>
          <c:cat>
            <c:numRef>
              <c:f>Option!$O$35:$Y$35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[0]!Price120</c:f>
              <c:numCache>
                <c:formatCode>General</c:formatCode>
                <c:ptCount val="11"/>
                <c:pt idx="0">
                  <c:v>14.019285027321185</c:v>
                </c:pt>
                <c:pt idx="1">
                  <c:v>13.388708113583375</c:v>
                </c:pt>
                <c:pt idx="2">
                  <c:v>12.710684418491349</c:v>
                </c:pt>
                <c:pt idx="3">
                  <c:v>11.976148197826699</c:v>
                </c:pt>
                <c:pt idx="4">
                  <c:v>11.172642028981164</c:v>
                </c:pt>
                <c:pt idx="5">
                  <c:v>10.282298420896769</c:v>
                </c:pt>
                <c:pt idx="6">
                  <c:v>9.2776986198949647</c:v>
                </c:pt>
                <c:pt idx="7">
                  <c:v>8.11281557300887</c:v>
                </c:pt>
                <c:pt idx="8">
                  <c:v>6.7002705387869979</c:v>
                </c:pt>
                <c:pt idx="9">
                  <c:v>4.8071699741247205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2D-4747-A907-A47DFB0B9D38}"/>
            </c:ext>
          </c:extLst>
        </c:ser>
        <c:ser>
          <c:idx val="7"/>
          <c:order val="7"/>
          <c:tx>
            <c:strRef>
              <c:f>Option!$N$43</c:f>
              <c:strCache>
                <c:ptCount val="1"/>
                <c:pt idx="0">
                  <c:v>140</c:v>
                </c:pt>
              </c:strCache>
            </c:strRef>
          </c:tx>
          <c:cat>
            <c:numRef>
              <c:f>Option!$O$35:$Y$35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[0]!Price140</c:f>
              <c:numCache>
                <c:formatCode>General</c:formatCode>
                <c:ptCount val="11"/>
                <c:pt idx="0">
                  <c:v>16.355832531874711</c:v>
                </c:pt>
                <c:pt idx="1">
                  <c:v>15.620159465847278</c:v>
                </c:pt>
                <c:pt idx="2">
                  <c:v>14.829131821573238</c:v>
                </c:pt>
                <c:pt idx="3">
                  <c:v>13.972172897464489</c:v>
                </c:pt>
                <c:pt idx="4">
                  <c:v>13.034749033811371</c:v>
                </c:pt>
                <c:pt idx="5">
                  <c:v>11.996014824379571</c:v>
                </c:pt>
                <c:pt idx="6">
                  <c:v>10.823981723210803</c:v>
                </c:pt>
                <c:pt idx="7">
                  <c:v>9.4649515018436734</c:v>
                </c:pt>
                <c:pt idx="8">
                  <c:v>7.816982295251484</c:v>
                </c:pt>
                <c:pt idx="9">
                  <c:v>5.6083649698121807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2D-4747-A907-A47DFB0B9D38}"/>
            </c:ext>
          </c:extLst>
        </c:ser>
        <c:ser>
          <c:idx val="8"/>
          <c:order val="8"/>
          <c:tx>
            <c:strRef>
              <c:f>Option!$N$44</c:f>
              <c:strCache>
                <c:ptCount val="1"/>
                <c:pt idx="0">
                  <c:v>160</c:v>
                </c:pt>
              </c:strCache>
            </c:strRef>
          </c:tx>
          <c:cat>
            <c:numRef>
              <c:f>Option!$O$35:$Y$35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[0]!Price160</c:f>
              <c:numCache>
                <c:formatCode>General</c:formatCode>
                <c:ptCount val="11"/>
                <c:pt idx="0">
                  <c:v>18.692380036428236</c:v>
                </c:pt>
                <c:pt idx="1">
                  <c:v>17.851610818111194</c:v>
                </c:pt>
                <c:pt idx="2">
                  <c:v>16.94757922465514</c:v>
                </c:pt>
                <c:pt idx="3">
                  <c:v>15.968197597102268</c:v>
                </c:pt>
                <c:pt idx="4">
                  <c:v>14.896856038641559</c:v>
                </c:pt>
                <c:pt idx="5">
                  <c:v>13.709731227862358</c:v>
                </c:pt>
                <c:pt idx="6">
                  <c:v>12.370264826526633</c:v>
                </c:pt>
                <c:pt idx="7">
                  <c:v>10.8170874306785</c:v>
                </c:pt>
                <c:pt idx="8">
                  <c:v>8.9336940517159924</c:v>
                </c:pt>
                <c:pt idx="9">
                  <c:v>6.4095599654996454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2D-4747-A907-A47DFB0B9D38}"/>
            </c:ext>
          </c:extLst>
        </c:ser>
        <c:ser>
          <c:idx val="9"/>
          <c:order val="9"/>
          <c:tx>
            <c:strRef>
              <c:f>Option!$N$45</c:f>
              <c:strCache>
                <c:ptCount val="1"/>
                <c:pt idx="0">
                  <c:v>180</c:v>
                </c:pt>
              </c:strCache>
            </c:strRef>
          </c:tx>
          <c:cat>
            <c:numRef>
              <c:f>Option!$O$35:$Y$35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[0]!Price180</c:f>
              <c:numCache>
                <c:formatCode>General</c:formatCode>
                <c:ptCount val="11"/>
                <c:pt idx="0">
                  <c:v>21.02892754098178</c:v>
                </c:pt>
                <c:pt idx="1">
                  <c:v>20.083062170375086</c:v>
                </c:pt>
                <c:pt idx="2">
                  <c:v>19.066026627737017</c:v>
                </c:pt>
                <c:pt idx="3">
                  <c:v>17.964222296740054</c:v>
                </c:pt>
                <c:pt idx="4">
                  <c:v>16.758963043471756</c:v>
                </c:pt>
                <c:pt idx="5">
                  <c:v>15.423447631345175</c:v>
                </c:pt>
                <c:pt idx="6">
                  <c:v>13.91654792984245</c:v>
                </c:pt>
                <c:pt idx="7">
                  <c:v>12.169223359513309</c:v>
                </c:pt>
                <c:pt idx="8">
                  <c:v>10.050405808180493</c:v>
                </c:pt>
                <c:pt idx="9">
                  <c:v>7.2107549611870905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2D-4747-A907-A47DFB0B9D38}"/>
            </c:ext>
          </c:extLst>
        </c:ser>
        <c:ser>
          <c:idx val="10"/>
          <c:order val="10"/>
          <c:tx>
            <c:strRef>
              <c:f>Option!$N$46</c:f>
              <c:strCache>
                <c:ptCount val="1"/>
                <c:pt idx="0">
                  <c:v>200</c:v>
                </c:pt>
              </c:strCache>
            </c:strRef>
          </c:tx>
          <c:cat>
            <c:numRef>
              <c:f>Option!$O$35:$Y$35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[0]!Price200</c:f>
              <c:numCache>
                <c:formatCode>General</c:formatCode>
                <c:ptCount val="11"/>
                <c:pt idx="0">
                  <c:v>23.365475045535312</c:v>
                </c:pt>
                <c:pt idx="1">
                  <c:v>22.314513522638975</c:v>
                </c:pt>
                <c:pt idx="2">
                  <c:v>21.184474030818905</c:v>
                </c:pt>
                <c:pt idx="3">
                  <c:v>19.960246996377833</c:v>
                </c:pt>
                <c:pt idx="4">
                  <c:v>18.621070048301952</c:v>
                </c:pt>
                <c:pt idx="5">
                  <c:v>17.137164034827961</c:v>
                </c:pt>
                <c:pt idx="6">
                  <c:v>15.462831033158281</c:v>
                </c:pt>
                <c:pt idx="7">
                  <c:v>13.521359288348128</c:v>
                </c:pt>
                <c:pt idx="8">
                  <c:v>11.167117564644995</c:v>
                </c:pt>
                <c:pt idx="9">
                  <c:v>8.0119499568745454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2D-4747-A907-A47DFB0B9D38}"/>
            </c:ext>
          </c:extLst>
        </c:ser>
        <c:bandFmts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25897695"/>
        <c:axId val="925894815"/>
        <c:axId val="26870495"/>
      </c:surface3DChart>
      <c:catAx>
        <c:axId val="92589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894815"/>
        <c:crosses val="autoZero"/>
        <c:auto val="1"/>
        <c:lblAlgn val="ctr"/>
        <c:lblOffset val="100"/>
        <c:noMultiLvlLbl val="0"/>
      </c:catAx>
      <c:valAx>
        <c:axId val="92589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897695"/>
        <c:crosses val="autoZero"/>
        <c:crossBetween val="midCat"/>
      </c:valAx>
      <c:serAx>
        <c:axId val="26870495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894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305520</xdr:colOff>
      <xdr:row>26</xdr:row>
      <xdr:rowOff>234673</xdr:rowOff>
    </xdr:from>
    <xdr:to>
      <xdr:col>12</xdr:col>
      <xdr:colOff>8987</xdr:colOff>
      <xdr:row>46</xdr:row>
      <xdr:rowOff>20705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26580A-5670-F884-F2DD-3C2E0C2F09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291043</xdr:colOff>
      <xdr:row>48</xdr:row>
      <xdr:rowOff>241299</xdr:rowOff>
    </xdr:from>
    <xdr:to>
      <xdr:col>11</xdr:col>
      <xdr:colOff>642210</xdr:colOff>
      <xdr:row>68</xdr:row>
      <xdr:rowOff>30507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A4002E9-AC0A-40F6-81BD-0D1497E33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</xdr:colOff>
      <xdr:row>48</xdr:row>
      <xdr:rowOff>243417</xdr:rowOff>
    </xdr:from>
    <xdr:to>
      <xdr:col>27</xdr:col>
      <xdr:colOff>192419</xdr:colOff>
      <xdr:row>68</xdr:row>
      <xdr:rowOff>32625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B8EDFB8-6322-4B3E-A2C8-2CD49C2DF8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636707</xdr:colOff>
      <xdr:row>68</xdr:row>
      <xdr:rowOff>249138</xdr:rowOff>
    </xdr:from>
    <xdr:to>
      <xdr:col>27</xdr:col>
      <xdr:colOff>194827</xdr:colOff>
      <xdr:row>88</xdr:row>
      <xdr:rowOff>21647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989D38-B46A-50FB-4B8C-6CEB29BFD5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271734</xdr:colOff>
      <xdr:row>69</xdr:row>
      <xdr:rowOff>1139</xdr:rowOff>
    </xdr:from>
    <xdr:to>
      <xdr:col>11</xdr:col>
      <xdr:colOff>649429</xdr:colOff>
      <xdr:row>88</xdr:row>
      <xdr:rowOff>10824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EEB5C8-24F7-1F23-77E5-F26C2C7F57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3F981-0842-4D92-B3EB-EE43936EF3A9}">
  <sheetPr codeName="Sheet1"/>
  <dimension ref="A1:DM92"/>
  <sheetViews>
    <sheetView tabSelected="1" zoomScale="60" zoomScaleNormal="75" workbookViewId="0">
      <selection activeCell="B3" sqref="B3"/>
    </sheetView>
  </sheetViews>
  <sheetFormatPr defaultRowHeight="14.25" x14ac:dyDescent="0.45"/>
  <cols>
    <col min="1" max="1" width="17.1328125" bestFit="1" customWidth="1"/>
    <col min="2" max="2" width="12.796875" bestFit="1" customWidth="1"/>
    <col min="3" max="10" width="10.59765625" customWidth="1"/>
    <col min="12" max="12" width="9.06640625" customWidth="1"/>
  </cols>
  <sheetData>
    <row r="1" spans="1:8" ht="46.9" x14ac:dyDescent="0.45">
      <c r="A1" s="5" t="s">
        <v>0</v>
      </c>
    </row>
    <row r="2" spans="1:8" ht="20.55" customHeight="1" thickBot="1" x14ac:dyDescent="0.5">
      <c r="H2" s="16" t="s">
        <v>39</v>
      </c>
    </row>
    <row r="3" spans="1:8" ht="20.55" customHeight="1" thickTop="1" thickBot="1" x14ac:dyDescent="0.5">
      <c r="A3" s="7" t="s">
        <v>1</v>
      </c>
      <c r="B3" s="1" t="s">
        <v>40</v>
      </c>
      <c r="H3" s="16" t="s">
        <v>40</v>
      </c>
    </row>
    <row r="4" spans="1:8" ht="20.55" customHeight="1" thickTop="1" thickBot="1" x14ac:dyDescent="0.5"/>
    <row r="5" spans="1:8" ht="20.55" customHeight="1" thickTop="1" thickBot="1" x14ac:dyDescent="0.5">
      <c r="A5" s="8" t="s">
        <v>2</v>
      </c>
      <c r="B5" s="2"/>
      <c r="C5" s="3"/>
    </row>
    <row r="6" spans="1:8" ht="20.55" customHeight="1" thickTop="1" thickBot="1" x14ac:dyDescent="0.5">
      <c r="A6" s="13" t="s">
        <v>3</v>
      </c>
      <c r="B6" s="14" t="s">
        <v>37</v>
      </c>
      <c r="C6" s="4">
        <v>100</v>
      </c>
    </row>
    <row r="7" spans="1:8" ht="20.55" customHeight="1" thickTop="1" thickBot="1" x14ac:dyDescent="0.5">
      <c r="A7" s="13" t="s">
        <v>4</v>
      </c>
      <c r="B7" s="13" t="s">
        <v>5</v>
      </c>
      <c r="C7" s="1">
        <v>0.05</v>
      </c>
    </row>
    <row r="8" spans="1:8" ht="20.55" customHeight="1" thickTop="1" thickBot="1" x14ac:dyDescent="0.5">
      <c r="A8" s="13" t="s">
        <v>6</v>
      </c>
      <c r="B8" s="13" t="s">
        <v>7</v>
      </c>
      <c r="C8" s="1">
        <v>0.2</v>
      </c>
    </row>
    <row r="9" spans="1:8" ht="20.55" customHeight="1" thickTop="1" thickBot="1" x14ac:dyDescent="0.5">
      <c r="A9" s="13" t="s">
        <v>11</v>
      </c>
      <c r="B9" s="13" t="s">
        <v>38</v>
      </c>
      <c r="C9" s="1">
        <v>0</v>
      </c>
    </row>
    <row r="10" spans="1:8" ht="20.55" customHeight="1" thickTop="1" thickBot="1" x14ac:dyDescent="0.5">
      <c r="A10" s="13" t="s">
        <v>41</v>
      </c>
      <c r="B10" s="13" t="s">
        <v>8</v>
      </c>
      <c r="C10" s="1">
        <v>1</v>
      </c>
    </row>
    <row r="11" spans="1:8" ht="20.55" customHeight="1" thickTop="1" thickBot="1" x14ac:dyDescent="0.5">
      <c r="A11" s="13" t="s">
        <v>12</v>
      </c>
      <c r="B11" s="13" t="s">
        <v>13</v>
      </c>
      <c r="C11" s="1">
        <v>100</v>
      </c>
    </row>
    <row r="12" spans="1:8" ht="20.55" customHeight="1" thickTop="1" thickBot="1" x14ac:dyDescent="0.5">
      <c r="A12" s="13" t="s">
        <v>9</v>
      </c>
      <c r="B12" s="13" t="s">
        <v>10</v>
      </c>
      <c r="C12" s="1">
        <v>100</v>
      </c>
    </row>
    <row r="13" spans="1:8" ht="20.55" customHeight="1" thickTop="1" thickBot="1" x14ac:dyDescent="0.5">
      <c r="A13" s="13" t="s">
        <v>14</v>
      </c>
      <c r="B13" s="13" t="s">
        <v>15</v>
      </c>
      <c r="C13" s="1">
        <v>42</v>
      </c>
    </row>
    <row r="14" spans="1:8" ht="20.55" customHeight="1" thickTop="1" x14ac:dyDescent="0.45"/>
    <row r="15" spans="1:8" ht="46.9" x14ac:dyDescent="0.45">
      <c r="A15" s="5" t="s">
        <v>16</v>
      </c>
    </row>
    <row r="16" spans="1:8" ht="20.55" customHeight="1" thickBot="1" x14ac:dyDescent="0.5"/>
    <row r="17" spans="1:117" ht="20.55" customHeight="1" thickTop="1" thickBot="1" x14ac:dyDescent="0.5">
      <c r="A17" s="6"/>
      <c r="B17" s="6"/>
      <c r="C17" s="9" t="s">
        <v>36</v>
      </c>
      <c r="D17" s="10"/>
      <c r="E17" s="10"/>
      <c r="F17" s="11"/>
      <c r="G17" s="9" t="s">
        <v>27</v>
      </c>
      <c r="H17" s="10"/>
      <c r="I17" s="10"/>
      <c r="J17" s="11"/>
    </row>
    <row r="18" spans="1:117" ht="20.55" customHeight="1" thickTop="1" thickBot="1" x14ac:dyDescent="0.5">
      <c r="A18" s="6"/>
      <c r="B18" s="6"/>
      <c r="C18" s="13" t="s">
        <v>23</v>
      </c>
      <c r="D18" s="13" t="s">
        <v>24</v>
      </c>
      <c r="E18" s="13" t="s">
        <v>25</v>
      </c>
      <c r="F18" s="13" t="s">
        <v>26</v>
      </c>
      <c r="G18" s="13" t="s">
        <v>23</v>
      </c>
      <c r="H18" s="13" t="s">
        <v>24</v>
      </c>
      <c r="I18" s="13" t="s">
        <v>25</v>
      </c>
      <c r="J18" s="13" t="s">
        <v>26</v>
      </c>
      <c r="N18" s="20" t="s">
        <v>10</v>
      </c>
      <c r="O18" s="20">
        <v>1</v>
      </c>
      <c r="P18" s="20">
        <v>2</v>
      </c>
      <c r="Q18" s="20">
        <v>3</v>
      </c>
      <c r="R18" s="20">
        <v>4</v>
      </c>
      <c r="S18" s="20">
        <v>5</v>
      </c>
      <c r="T18" s="20">
        <v>6</v>
      </c>
      <c r="U18" s="20">
        <v>7</v>
      </c>
      <c r="V18" s="20">
        <v>8</v>
      </c>
      <c r="W18" s="20">
        <v>9</v>
      </c>
      <c r="X18" s="20">
        <v>10</v>
      </c>
      <c r="Y18" s="20">
        <v>11</v>
      </c>
      <c r="Z18" s="20">
        <v>12</v>
      </c>
      <c r="AA18" s="20">
        <v>13</v>
      </c>
      <c r="AB18" s="20">
        <v>14</v>
      </c>
      <c r="AC18" s="20">
        <v>15</v>
      </c>
      <c r="AD18" s="20">
        <v>16</v>
      </c>
      <c r="AE18" s="20">
        <v>17</v>
      </c>
      <c r="AF18" s="20">
        <v>18</v>
      </c>
      <c r="AG18" s="20">
        <v>19</v>
      </c>
      <c r="AH18" s="20">
        <v>20</v>
      </c>
      <c r="AI18" s="20">
        <v>21</v>
      </c>
      <c r="AJ18" s="20">
        <v>22</v>
      </c>
      <c r="AK18" s="20">
        <v>23</v>
      </c>
      <c r="AL18" s="20">
        <v>24</v>
      </c>
      <c r="AM18" s="20">
        <v>25</v>
      </c>
      <c r="AN18" s="20">
        <v>26</v>
      </c>
      <c r="AO18" s="20">
        <v>27</v>
      </c>
      <c r="AP18" s="20">
        <v>28</v>
      </c>
      <c r="AQ18" s="20">
        <v>29</v>
      </c>
      <c r="AR18" s="20">
        <v>30</v>
      </c>
      <c r="AS18" s="20">
        <v>31</v>
      </c>
      <c r="AT18" s="20">
        <v>32</v>
      </c>
      <c r="AU18" s="20">
        <v>33</v>
      </c>
      <c r="AV18" s="20">
        <v>34</v>
      </c>
      <c r="AW18" s="20">
        <v>35</v>
      </c>
      <c r="AX18" s="20">
        <v>36</v>
      </c>
      <c r="AY18" s="20">
        <v>37</v>
      </c>
      <c r="AZ18" s="20">
        <v>38</v>
      </c>
      <c r="BA18" s="20">
        <v>39</v>
      </c>
      <c r="BB18" s="20">
        <v>40</v>
      </c>
      <c r="BC18" s="20">
        <v>41</v>
      </c>
      <c r="BD18" s="20">
        <v>42</v>
      </c>
      <c r="BE18" s="20">
        <v>43</v>
      </c>
      <c r="BF18" s="20">
        <v>44</v>
      </c>
      <c r="BG18" s="20">
        <v>45</v>
      </c>
      <c r="BH18" s="20">
        <v>46</v>
      </c>
      <c r="BI18" s="20">
        <v>47</v>
      </c>
      <c r="BJ18" s="20">
        <v>48</v>
      </c>
      <c r="BK18" s="20">
        <v>49</v>
      </c>
      <c r="BL18" s="20">
        <v>50</v>
      </c>
      <c r="BM18" s="20">
        <v>51</v>
      </c>
      <c r="BN18" s="20">
        <v>52</v>
      </c>
      <c r="BO18" s="20">
        <v>53</v>
      </c>
      <c r="BP18" s="20">
        <v>54</v>
      </c>
      <c r="BQ18" s="20">
        <v>55</v>
      </c>
      <c r="BR18" s="20">
        <v>56</v>
      </c>
      <c r="BS18" s="20">
        <v>57</v>
      </c>
      <c r="BT18" s="20">
        <v>58</v>
      </c>
      <c r="BU18" s="20">
        <v>59</v>
      </c>
      <c r="BV18" s="20">
        <v>60</v>
      </c>
      <c r="BW18" s="20">
        <v>61</v>
      </c>
      <c r="BX18" s="20">
        <v>62</v>
      </c>
      <c r="BY18" s="20">
        <v>63</v>
      </c>
      <c r="BZ18" s="20">
        <v>64</v>
      </c>
      <c r="CA18" s="20">
        <v>65</v>
      </c>
      <c r="CB18" s="20">
        <v>66</v>
      </c>
      <c r="CC18" s="20">
        <v>67</v>
      </c>
      <c r="CD18" s="20">
        <v>68</v>
      </c>
      <c r="CE18" s="20">
        <v>69</v>
      </c>
      <c r="CF18" s="20">
        <v>70</v>
      </c>
      <c r="CG18" s="20">
        <v>71</v>
      </c>
      <c r="CH18" s="20">
        <v>72</v>
      </c>
      <c r="CI18" s="20">
        <v>73</v>
      </c>
      <c r="CJ18" s="20">
        <v>74</v>
      </c>
      <c r="CK18" s="20">
        <v>75</v>
      </c>
      <c r="CL18" s="20">
        <v>76</v>
      </c>
      <c r="CM18" s="20">
        <v>77</v>
      </c>
      <c r="CN18" s="20">
        <v>78</v>
      </c>
      <c r="CO18" s="20">
        <v>79</v>
      </c>
      <c r="CP18" s="20">
        <v>80</v>
      </c>
      <c r="CQ18" s="20">
        <v>81</v>
      </c>
      <c r="CR18" s="20">
        <v>82</v>
      </c>
      <c r="CS18" s="20">
        <v>83</v>
      </c>
      <c r="CT18" s="20">
        <v>84</v>
      </c>
      <c r="CU18" s="20">
        <v>85</v>
      </c>
      <c r="CV18" s="20">
        <v>86</v>
      </c>
      <c r="CW18" s="20">
        <v>87</v>
      </c>
      <c r="CX18" s="20">
        <v>88</v>
      </c>
      <c r="CY18" s="20">
        <v>89</v>
      </c>
      <c r="CZ18" s="20">
        <v>90</v>
      </c>
      <c r="DA18" s="20">
        <v>91</v>
      </c>
      <c r="DB18" s="20">
        <v>92</v>
      </c>
      <c r="DC18" s="20">
        <v>93</v>
      </c>
      <c r="DD18" s="20">
        <v>94</v>
      </c>
      <c r="DE18" s="20">
        <v>95</v>
      </c>
      <c r="DF18" s="20">
        <v>96</v>
      </c>
      <c r="DG18" s="20">
        <v>97</v>
      </c>
      <c r="DH18" s="20">
        <v>98</v>
      </c>
      <c r="DI18" s="20">
        <v>99</v>
      </c>
      <c r="DJ18" s="20">
        <v>100</v>
      </c>
    </row>
    <row r="19" spans="1:117" ht="20.55" customHeight="1" thickTop="1" thickBot="1" x14ac:dyDescent="0.5">
      <c r="A19" s="13" t="s">
        <v>17</v>
      </c>
      <c r="B19" s="13" t="s">
        <v>28</v>
      </c>
      <c r="C19" s="12" cm="1">
        <f t="array" ref="C19">_xlfn.SWITCH(
  $B$3,
  "Lookback Call",    lb_call_price_mc($C$6,$C$7,$C$8,$C$9,$C$10,$C$11,$C$12,$C$13),
  "Lookback Put",     lb_put_price_mc($C$6,$C$7,$C$8,$C$9,$C$10,$C$11,$C$12,$C$13))</f>
        <v>11.682737522767656</v>
      </c>
      <c r="D19" s="12" cm="1">
        <f t="array" ref="D19">_xlfn.SWITCH(
  $B$3,
  "Lookback Call",    lb_call_price_mc_se($C$6,$C$7,$C$8,$C$9,$C$10,$C$11,$C$12,$C$13),
  "Lookback Put",     lb_put_price_mc_se($C$6,$C$7,$C$8,$C$9,$C$10,$C$11,$C$12,$C$13))</f>
        <v>0.98956567779536164</v>
      </c>
      <c r="E19" s="12" cm="1">
        <f t="array" ref="E19">_xlfn.SWITCH(
  $B$3,
  "Lookback Call",    lb_call_price_mc_ci_low($C$6,$C$7,$C$8,$C$9,$C$10,$C$11,$C$12,$C$13),
  "Lookback Put",     lb_put_price_mc_ci_low($C$6,$C$7,$C$8,$C$9,$C$10,$C$11,$C$12,$C$13))</f>
        <v>9.7431887942887467</v>
      </c>
      <c r="F19" s="12" cm="1">
        <f t="array" ref="F19">_xlfn.SWITCH(
  $B$3,
  "Lookback Call",    lb_call_price_mc_ci_high($C$6,$C$7,$C$8,$C$9,$C$10,$C$11,$C$12,$C$13),
  "Lookback Put",     lb_put_price_mc_ci_high($C$6,$C$7,$C$8,$C$9,$C$10,$C$11,$C$12,$C$13))</f>
        <v>13.622286251246566</v>
      </c>
      <c r="G19" s="12" cm="1">
        <f t="array" ref="G19">_xlfn.SWITCH(
  $B$3,
  "Lookback Call",    lb_call_price_mc_vr($C$6,$C$7,$C$8,$C$9,$C$10,$C$11,$C$12,$C$13),
  "Lookback Put",     lb_put_price_mc_vr($C$6,$C$7,$C$8,$C$9,$C$10,$C$11,$C$12,$C$13))</f>
        <v>12.936786938188554</v>
      </c>
      <c r="H19" s="12" cm="1">
        <f t="array" ref="H19">_xlfn.SWITCH(
  $B$3,
  "Lookback Call",    lb_call_price_mc_vr_se($C$6,$C$7,$C$8,$C$9,$C$10,$C$11,$C$12,$C$13),
  "Lookback Put",     lb_put_price_mc_vr_se($C$6,$C$7,$C$8,$C$9,$C$10,$C$11,$C$12,$C$13))</f>
        <v>0.62741371896970954</v>
      </c>
      <c r="I19" s="12" cm="1">
        <f t="array" ref="I19">_xlfn.SWITCH(
  $B$3,
  "Lookback Call",    lb_call_price_mc_vr_ci_low($C$6,$C$7,$C$8,$C$9,$C$10,$C$11,$C$12,$C$13),
  "Lookback Put",     lb_put_price_mc_vr_ci_low($C$6,$C$7,$C$8,$C$9,$C$10,$C$11,$C$12,$C$13))</f>
        <v>11.707056049007923</v>
      </c>
      <c r="J19" s="12" cm="1">
        <f t="array" ref="J19">_xlfn.SWITCH(
  $B$3,
  "Lookback Call",    lb_call_price_mc_vr_ci_high($C$6,$C$7,$C$8,$C$9,$C$10,$C$11,$C$12,$C$13),
  "Lookback Put",     lb_put_price_mc_vr_ci_high($C$6,$C$7,$C$8,$C$9,$C$10,$C$11,$C$12,$C$13))</f>
        <v>14.166517827369185</v>
      </c>
      <c r="N19" s="20" t="s">
        <v>42</v>
      </c>
      <c r="O19" s="20" cm="1">
        <f t="array" ref="O19">lb_call_price_mc($C$6,$C$7,$C$8,$C$9,$C$10,$C$11,O18,$C$13)</f>
        <v>13.621096159043288</v>
      </c>
      <c r="P19" s="20" cm="1">
        <f t="array" ref="P19">lb_call_price_mc($C$6,$C$7,$C$8,$C$9,$C$10,$C$11,P18,$C$13)</f>
        <v>11.862065088945757</v>
      </c>
      <c r="Q19" s="20" cm="1">
        <f t="array" ref="Q19">lb_call_price_mc($C$6,$C$7,$C$8,$C$9,$C$10,$C$11,Q18,$C$13)</f>
        <v>12.28180576106109</v>
      </c>
      <c r="R19" s="20" cm="1">
        <f t="array" ref="R19">lb_call_price_mc($C$6,$C$7,$C$8,$C$9,$C$10,$C$11,R18,$C$13)</f>
        <v>13.707139187141157</v>
      </c>
      <c r="S19" s="20" cm="1">
        <f t="array" ref="S19">lb_call_price_mc($C$6,$C$7,$C$8,$C$9,$C$10,$C$11,S18,$C$13)</f>
        <v>13.696159723635308</v>
      </c>
      <c r="T19" s="20" cm="1">
        <f t="array" ref="T19">lb_call_price_mc($C$6,$C$7,$C$8,$C$9,$C$10,$C$11,T18,$C$13)</f>
        <v>13.694406203056419</v>
      </c>
      <c r="U19" s="20" cm="1">
        <f t="array" ref="U19">lb_call_price_mc($C$6,$C$7,$C$8,$C$9,$C$10,$C$11,U18,$C$13)</f>
        <v>14.270655023441281</v>
      </c>
      <c r="V19" s="20" cm="1">
        <f t="array" ref="V19">lb_call_price_mc($C$6,$C$7,$C$8,$C$9,$C$10,$C$11,V18,$C$13)</f>
        <v>14.703639907174059</v>
      </c>
      <c r="W19" s="20" cm="1">
        <f t="array" ref="W19">lb_call_price_mc($C$6,$C$7,$C$8,$C$9,$C$10,$C$11,W18,$C$13)</f>
        <v>14.305578221193963</v>
      </c>
      <c r="X19" s="20" cm="1">
        <f t="array" ref="X19">lb_call_price_mc($C$6,$C$7,$C$8,$C$9,$C$10,$C$11,X18,$C$13)</f>
        <v>14.638747392854913</v>
      </c>
      <c r="Y19" s="20" cm="1">
        <f t="array" ref="Y19">lb_call_price_mc($C$6,$C$7,$C$8,$C$9,$C$10,$C$11,Y18,$C$13)</f>
        <v>15.051839360248405</v>
      </c>
      <c r="Z19" s="20" cm="1">
        <f t="array" ref="Z19">lb_call_price_mc($C$6,$C$7,$C$8,$C$9,$C$10,$C$11,Z18,$C$13)</f>
        <v>15.211887955288148</v>
      </c>
      <c r="AA19" s="20" cm="1">
        <f t="array" ref="AA19">lb_call_price_mc($C$6,$C$7,$C$8,$C$9,$C$10,$C$11,AA18,$C$13)</f>
        <v>14.876291631120441</v>
      </c>
      <c r="AB19" s="20" cm="1">
        <f t="array" ref="AB19">lb_call_price_mc($C$6,$C$7,$C$8,$C$9,$C$10,$C$11,AB18,$C$13)</f>
        <v>15.587170722410484</v>
      </c>
      <c r="AC19" s="20" cm="1">
        <f t="array" ref="AC19">lb_call_price_mc($C$6,$C$7,$C$8,$C$9,$C$10,$C$11,AC18,$C$13)</f>
        <v>14.963720895844718</v>
      </c>
      <c r="AD19" s="20" cm="1">
        <f t="array" ref="AD19">lb_call_price_mc($C$6,$C$7,$C$8,$C$9,$C$10,$C$11,AD18,$C$13)</f>
        <v>17.38053967880861</v>
      </c>
      <c r="AE19" s="20" cm="1">
        <f t="array" ref="AE19">lb_call_price_mc($C$6,$C$7,$C$8,$C$9,$C$10,$C$11,AE18,$C$13)</f>
        <v>17.625895539610127</v>
      </c>
      <c r="AF19" s="20" cm="1">
        <f t="array" ref="AF19">lb_call_price_mc($C$6,$C$7,$C$8,$C$9,$C$10,$C$11,AF18,$C$13)</f>
        <v>16.816891359296608</v>
      </c>
      <c r="AG19" s="20" cm="1">
        <f t="array" ref="AG19">lb_call_price_mc($C$6,$C$7,$C$8,$C$9,$C$10,$C$11,AG18,$C$13)</f>
        <v>17.075170238791923</v>
      </c>
      <c r="AH19" s="20" cm="1">
        <f t="array" ref="AH19">lb_call_price_mc($C$6,$C$7,$C$8,$C$9,$C$10,$C$11,AH18,$C$13)</f>
        <v>17.974555250077401</v>
      </c>
      <c r="AI19" s="20" cm="1">
        <f t="array" ref="AI19">lb_call_price_mc($C$6,$C$7,$C$8,$C$9,$C$10,$C$11,AI18,$C$13)</f>
        <v>17.689894207496636</v>
      </c>
      <c r="AJ19" s="20" cm="1">
        <f t="array" ref="AJ19">lb_call_price_mc($C$6,$C$7,$C$8,$C$9,$C$10,$C$11,AJ18,$C$13)</f>
        <v>19.068069278466897</v>
      </c>
      <c r="AK19" s="20" cm="1">
        <f t="array" ref="AK19">lb_call_price_mc($C$6,$C$7,$C$8,$C$9,$C$10,$C$11,AK18,$C$13)</f>
        <v>18.887443148702044</v>
      </c>
      <c r="AL19" s="20" cm="1">
        <f t="array" ref="AL19">lb_call_price_mc($C$6,$C$7,$C$8,$C$9,$C$10,$C$11,AL18,$C$13)</f>
        <v>19.12488179876128</v>
      </c>
      <c r="AM19" s="20" cm="1">
        <f t="array" ref="AM19">lb_call_price_mc($C$6,$C$7,$C$8,$C$9,$C$10,$C$11,AM18,$C$13)</f>
        <v>19.451758763352938</v>
      </c>
      <c r="AN19" s="20" cm="1">
        <f t="array" ref="AN19">lb_call_price_mc($C$6,$C$7,$C$8,$C$9,$C$10,$C$11,AN18,$C$13)</f>
        <v>18.543364466508276</v>
      </c>
      <c r="AO19" s="20" cm="1">
        <f t="array" ref="AO19">lb_call_price_mc($C$6,$C$7,$C$8,$C$9,$C$10,$C$11,AO18,$C$13)</f>
        <v>18.750497815276706</v>
      </c>
      <c r="AP19" s="20" cm="1">
        <f t="array" ref="AP19">lb_call_price_mc($C$6,$C$7,$C$8,$C$9,$C$10,$C$11,AP18,$C$13)</f>
        <v>18.538726616871312</v>
      </c>
      <c r="AQ19" s="20" cm="1">
        <f t="array" ref="AQ19">lb_call_price_mc($C$6,$C$7,$C$8,$C$9,$C$10,$C$11,AQ18,$C$13)</f>
        <v>17.249603718318937</v>
      </c>
      <c r="AR19" s="20" cm="1">
        <f t="array" ref="AR19">lb_call_price_mc($C$6,$C$7,$C$8,$C$9,$C$10,$C$11,AR18,$C$13)</f>
        <v>19.492983147284978</v>
      </c>
      <c r="AS19" s="20" cm="1">
        <f t="array" ref="AS19">lb_call_price_mc($C$6,$C$7,$C$8,$C$9,$C$10,$C$11,AS18,$C$13)</f>
        <v>18.934722801036614</v>
      </c>
      <c r="AT19" s="20" cm="1">
        <f t="array" ref="AT19">lb_call_price_mc($C$6,$C$7,$C$8,$C$9,$C$10,$C$11,AT18,$C$13)</f>
        <v>18.219715365645456</v>
      </c>
      <c r="AU19" s="20" cm="1">
        <f t="array" ref="AU19">lb_call_price_mc($C$6,$C$7,$C$8,$C$9,$C$10,$C$11,AU18,$C$13)</f>
        <v>19.354741579553995</v>
      </c>
      <c r="AV19" s="20" cm="1">
        <f t="array" ref="AV19">lb_call_price_mc($C$6,$C$7,$C$8,$C$9,$C$10,$C$11,AV18,$C$13)</f>
        <v>18.319465385564698</v>
      </c>
      <c r="AW19" s="20" cm="1">
        <f t="array" ref="AW19">lb_call_price_mc($C$6,$C$7,$C$8,$C$9,$C$10,$C$11,AW18,$C$13)</f>
        <v>18.328056344552724</v>
      </c>
      <c r="AX19" s="20" cm="1">
        <f t="array" ref="AX19">lb_call_price_mc($C$6,$C$7,$C$8,$C$9,$C$10,$C$11,AX18,$C$13)</f>
        <v>18.822011749358953</v>
      </c>
      <c r="AY19" s="20" cm="1">
        <f t="array" ref="AY19">lb_call_price_mc($C$6,$C$7,$C$8,$C$9,$C$10,$C$11,AY18,$C$13)</f>
        <v>17.537077258454627</v>
      </c>
      <c r="AZ19" s="20" cm="1">
        <f t="array" ref="AZ19">lb_call_price_mc($C$6,$C$7,$C$8,$C$9,$C$10,$C$11,AZ18,$C$13)</f>
        <v>17.799220638663915</v>
      </c>
      <c r="BA19" s="20" cm="1">
        <f t="array" ref="BA19">lb_call_price_mc($C$6,$C$7,$C$8,$C$9,$C$10,$C$11,BA18,$C$13)</f>
        <v>17.489117636158394</v>
      </c>
      <c r="BB19" s="20" cm="1">
        <f t="array" ref="BB19">lb_call_price_mc($C$6,$C$7,$C$8,$C$9,$C$10,$C$11,BB18,$C$13)</f>
        <v>18.546654339026613</v>
      </c>
      <c r="BC19" s="20" cm="1">
        <f t="array" ref="BC19">lb_call_price_mc($C$6,$C$7,$C$8,$C$9,$C$10,$C$11,BC18,$C$13)</f>
        <v>17.940226077997419</v>
      </c>
      <c r="BD19" s="20" cm="1">
        <f t="array" ref="BD19">lb_call_price_mc($C$6,$C$7,$C$8,$C$9,$C$10,$C$11,BD18,$C$13)</f>
        <v>17.037691669773245</v>
      </c>
      <c r="BE19" s="20" cm="1">
        <f t="array" ref="BE19">lb_call_price_mc($C$6,$C$7,$C$8,$C$9,$C$10,$C$11,BE18,$C$13)</f>
        <v>18.091755199579769</v>
      </c>
      <c r="BF19" s="20" cm="1">
        <f t="array" ref="BF19">lb_call_price_mc($C$6,$C$7,$C$8,$C$9,$C$10,$C$11,BF18,$C$13)</f>
        <v>18.144220483945727</v>
      </c>
      <c r="BG19" s="20" cm="1">
        <f t="array" ref="BG19">lb_call_price_mc($C$6,$C$7,$C$8,$C$9,$C$10,$C$11,BG18,$C$13)</f>
        <v>17.862011302141532</v>
      </c>
      <c r="BH19" s="20" cm="1">
        <f t="array" ref="BH19">lb_call_price_mc($C$6,$C$7,$C$8,$C$9,$C$10,$C$11,BH18,$C$13)</f>
        <v>17.612064173228646</v>
      </c>
      <c r="BI19" s="20" cm="1">
        <f t="array" ref="BI19">lb_call_price_mc($C$6,$C$7,$C$8,$C$9,$C$10,$C$11,BI18,$C$13)</f>
        <v>17.898637553958235</v>
      </c>
      <c r="BJ19" s="20" cm="1">
        <f t="array" ref="BJ19">lb_call_price_mc($C$6,$C$7,$C$8,$C$9,$C$10,$C$11,BJ18,$C$13)</f>
        <v>17.49483701784273</v>
      </c>
      <c r="BK19" s="20" cm="1">
        <f t="array" ref="BK19">lb_call_price_mc($C$6,$C$7,$C$8,$C$9,$C$10,$C$11,BK18,$C$13)</f>
        <v>18.158633853253569</v>
      </c>
      <c r="BL19" s="20" cm="1">
        <f t="array" ref="BL19">lb_call_price_mc($C$6,$C$7,$C$8,$C$9,$C$10,$C$11,BL18,$C$13)</f>
        <v>17.952729905294365</v>
      </c>
      <c r="BM19" s="20" cm="1">
        <f t="array" ref="BM19">lb_call_price_mc($C$6,$C$7,$C$8,$C$9,$C$10,$C$11,BM18,$C$13)</f>
        <v>17.910686055816257</v>
      </c>
      <c r="BN19" s="20" cm="1">
        <f t="array" ref="BN19">lb_call_price_mc($C$6,$C$7,$C$8,$C$9,$C$10,$C$11,BN18,$C$13)</f>
        <v>17.253004077528168</v>
      </c>
      <c r="BO19" s="20" cm="1">
        <f t="array" ref="BO19">lb_call_price_mc($C$6,$C$7,$C$8,$C$9,$C$10,$C$11,BO18,$C$13)</f>
        <v>17.327683879066203</v>
      </c>
      <c r="BP19" s="20" cm="1">
        <f t="array" ref="BP19">lb_call_price_mc($C$6,$C$7,$C$8,$C$9,$C$10,$C$11,BP18,$C$13)</f>
        <v>17.441753953065238</v>
      </c>
      <c r="BQ19" s="20" cm="1">
        <f t="array" ref="BQ19">lb_call_price_mc($C$6,$C$7,$C$8,$C$9,$C$10,$C$11,BQ18,$C$13)</f>
        <v>17.870329918261572</v>
      </c>
      <c r="BR19" s="20" cm="1">
        <f t="array" ref="BR19">lb_call_price_mc($C$6,$C$7,$C$8,$C$9,$C$10,$C$11,BR18,$C$13)</f>
        <v>17.307683604776127</v>
      </c>
      <c r="BS19" s="20" cm="1">
        <f t="array" ref="BS19">lb_call_price_mc($C$6,$C$7,$C$8,$C$9,$C$10,$C$11,BS18,$C$13)</f>
        <v>17.063621925186229</v>
      </c>
      <c r="BT19" s="20" cm="1">
        <f t="array" ref="BT19">lb_call_price_mc($C$6,$C$7,$C$8,$C$9,$C$10,$C$11,BT18,$C$13)</f>
        <v>16.399439349095989</v>
      </c>
      <c r="BU19" s="20" cm="1">
        <f t="array" ref="BU19">lb_call_price_mc($C$6,$C$7,$C$8,$C$9,$C$10,$C$11,BU18,$C$13)</f>
        <v>17.857048300324848</v>
      </c>
      <c r="BV19" s="20" cm="1">
        <f t="array" ref="BV19">lb_call_price_mc($C$6,$C$7,$C$8,$C$9,$C$10,$C$11,BV18,$C$13)</f>
        <v>18.438018886926347</v>
      </c>
      <c r="BW19" s="20" cm="1">
        <f t="array" ref="BW19">lb_call_price_mc($C$6,$C$7,$C$8,$C$9,$C$10,$C$11,BW18,$C$13)</f>
        <v>18.725929695048006</v>
      </c>
      <c r="BX19" s="20" cm="1">
        <f t="array" ref="BX19">lb_call_price_mc($C$6,$C$7,$C$8,$C$9,$C$10,$C$11,BX18,$C$13)</f>
        <v>19.001961662075825</v>
      </c>
      <c r="BY19" s="20" cm="1">
        <f t="array" ref="BY19">lb_call_price_mc($C$6,$C$7,$C$8,$C$9,$C$10,$C$11,BY18,$C$13)</f>
        <v>18.857232814617383</v>
      </c>
      <c r="BZ19" s="20" cm="1">
        <f t="array" ref="BZ19">lb_call_price_mc($C$6,$C$7,$C$8,$C$9,$C$10,$C$11,BZ18,$C$13)</f>
        <v>19.077858676910299</v>
      </c>
      <c r="CA19" s="20" cm="1">
        <f t="array" ref="CA19">lb_call_price_mc($C$6,$C$7,$C$8,$C$9,$C$10,$C$11,CA18,$C$13)</f>
        <v>18.86756861046403</v>
      </c>
      <c r="CB19" s="20" cm="1">
        <f t="array" ref="CB19">lb_call_price_mc($C$6,$C$7,$C$8,$C$9,$C$10,$C$11,CB18,$C$13)</f>
        <v>19.150613354297782</v>
      </c>
      <c r="CC19" s="20" cm="1">
        <f t="array" ref="CC19">lb_call_price_mc($C$6,$C$7,$C$8,$C$9,$C$10,$C$11,CC18,$C$13)</f>
        <v>19.659852808232596</v>
      </c>
      <c r="CD19" s="20" cm="1">
        <f t="array" ref="CD19">lb_call_price_mc($C$6,$C$7,$C$8,$C$9,$C$10,$C$11,CD18,$C$13)</f>
        <v>19.197028175182858</v>
      </c>
      <c r="CE19" s="20" cm="1">
        <f t="array" ref="CE19">lb_call_price_mc($C$6,$C$7,$C$8,$C$9,$C$10,$C$11,CE18,$C$13)</f>
        <v>19.098923874165692</v>
      </c>
      <c r="CF19" s="20" cm="1">
        <f t="array" ref="CF19">lb_call_price_mc($C$6,$C$7,$C$8,$C$9,$C$10,$C$11,CF18,$C$13)</f>
        <v>19.001290469031773</v>
      </c>
      <c r="CG19" s="20" cm="1">
        <f t="array" ref="CG19">lb_call_price_mc($C$6,$C$7,$C$8,$C$9,$C$10,$C$11,CG18,$C$13)</f>
        <v>18.571791354770948</v>
      </c>
      <c r="CH19" s="20" cm="1">
        <f t="array" ref="CH19">lb_call_price_mc($C$6,$C$7,$C$8,$C$9,$C$10,$C$11,CH18,$C$13)</f>
        <v>19.623773234320105</v>
      </c>
      <c r="CI19" s="20" cm="1">
        <f t="array" ref="CI19">lb_call_price_mc($C$6,$C$7,$C$8,$C$9,$C$10,$C$11,CI18,$C$13)</f>
        <v>19.918338476001548</v>
      </c>
      <c r="CJ19" s="20" cm="1">
        <f t="array" ref="CJ19">lb_call_price_mc($C$6,$C$7,$C$8,$C$9,$C$10,$C$11,CJ18,$C$13)</f>
        <v>18.955525729869652</v>
      </c>
      <c r="CK19" s="20" cm="1">
        <f t="array" ref="CK19">lb_call_price_mc($C$6,$C$7,$C$8,$C$9,$C$10,$C$11,CK18,$C$13)</f>
        <v>19.84403073470197</v>
      </c>
      <c r="CL19" s="20" cm="1">
        <f t="array" ref="CL19">lb_call_price_mc($C$6,$C$7,$C$8,$C$9,$C$10,$C$11,CL18,$C$13)</f>
        <v>18.884164239878491</v>
      </c>
      <c r="CM19" s="20" cm="1">
        <f t="array" ref="CM19">lb_call_price_mc($C$6,$C$7,$C$8,$C$9,$C$10,$C$11,CM18,$C$13)</f>
        <v>19.994880848393809</v>
      </c>
      <c r="CN19" s="20" cm="1">
        <f t="array" ref="CN19">lb_call_price_mc($C$6,$C$7,$C$8,$C$9,$C$10,$C$11,CN18,$C$13)</f>
        <v>19.489236653494576</v>
      </c>
      <c r="CO19" s="20" cm="1">
        <f t="array" ref="CO19">lb_call_price_mc($C$6,$C$7,$C$8,$C$9,$C$10,$C$11,CO18,$C$13)</f>
        <v>19.779865500043126</v>
      </c>
      <c r="CP19" s="20" cm="1">
        <f t="array" ref="CP19">lb_call_price_mc($C$6,$C$7,$C$8,$C$9,$C$10,$C$11,CP18,$C$13)</f>
        <v>19.026148103023619</v>
      </c>
      <c r="CQ19" s="20" cm="1">
        <f t="array" ref="CQ19">lb_call_price_mc($C$6,$C$7,$C$8,$C$9,$C$10,$C$11,CQ18,$C$13)</f>
        <v>19.243773935261935</v>
      </c>
      <c r="CR19" s="20" cm="1">
        <f t="array" ref="CR19">lb_call_price_mc($C$6,$C$7,$C$8,$C$9,$C$10,$C$11,CR18,$C$13)</f>
        <v>18.954797115369821</v>
      </c>
      <c r="CS19" s="20" cm="1">
        <f t="array" ref="CS19">lb_call_price_mc($C$6,$C$7,$C$8,$C$9,$C$10,$C$11,CS18,$C$13)</f>
        <v>20.209569326503939</v>
      </c>
      <c r="CT19" s="20" cm="1">
        <f t="array" ref="CT19">lb_call_price_mc($C$6,$C$7,$C$8,$C$9,$C$10,$C$11,CT18,$C$13)</f>
        <v>18.907493029576823</v>
      </c>
      <c r="CU19" s="20" cm="1">
        <f t="array" ref="CU19">lb_call_price_mc($C$6,$C$7,$C$8,$C$9,$C$10,$C$11,CU18,$C$13)</f>
        <v>18.864950782027563</v>
      </c>
      <c r="CV19" s="20" cm="1">
        <f t="array" ref="CV19">lb_call_price_mc($C$6,$C$7,$C$8,$C$9,$C$10,$C$11,CV18,$C$13)</f>
        <v>19.236376217502389</v>
      </c>
      <c r="CW19" s="20" cm="1">
        <f t="array" ref="CW19">lb_call_price_mc($C$6,$C$7,$C$8,$C$9,$C$10,$C$11,CW18,$C$13)</f>
        <v>18.405515534089666</v>
      </c>
      <c r="CX19" s="20" cm="1">
        <f t="array" ref="CX19">lb_call_price_mc($C$6,$C$7,$C$8,$C$9,$C$10,$C$11,CX18,$C$13)</f>
        <v>19.332825445915383</v>
      </c>
      <c r="CY19" s="20" cm="1">
        <f t="array" ref="CY19">lb_call_price_mc($C$6,$C$7,$C$8,$C$9,$C$10,$C$11,CY18,$C$13)</f>
        <v>19.562640895273432</v>
      </c>
      <c r="CZ19" s="20" cm="1">
        <f t="array" ref="CZ19">lb_call_price_mc($C$6,$C$7,$C$8,$C$9,$C$10,$C$11,CZ18,$C$13)</f>
        <v>18.645830757408824</v>
      </c>
      <c r="DA19" s="20" cm="1">
        <f t="array" ref="DA19">lb_call_price_mc($C$6,$C$7,$C$8,$C$9,$C$10,$C$11,DA18,$C$13)</f>
        <v>18.055659287254922</v>
      </c>
      <c r="DB19" s="20" cm="1">
        <f t="array" ref="DB19">lb_call_price_mc($C$6,$C$7,$C$8,$C$9,$C$10,$C$11,DB18,$C$13)</f>
        <v>18.498277748585387</v>
      </c>
      <c r="DC19" s="20" cm="1">
        <f t="array" ref="DC19">lb_call_price_mc($C$6,$C$7,$C$8,$C$9,$C$10,$C$11,DC18,$C$13)</f>
        <v>17.773623575738103</v>
      </c>
      <c r="DD19" s="20" cm="1">
        <f t="array" ref="DD19">lb_call_price_mc($C$6,$C$7,$C$8,$C$9,$C$10,$C$11,DD18,$C$13)</f>
        <v>18.983164406494236</v>
      </c>
      <c r="DE19" s="20" cm="1">
        <f t="array" ref="DE19">lb_call_price_mc($C$6,$C$7,$C$8,$C$9,$C$10,$C$11,DE18,$C$13)</f>
        <v>18.343536382673214</v>
      </c>
      <c r="DF19" s="20" cm="1">
        <f t="array" ref="DF19">lb_call_price_mc($C$6,$C$7,$C$8,$C$9,$C$10,$C$11,DF18,$C$13)</f>
        <v>18.410460264286318</v>
      </c>
      <c r="DG19" s="20" cm="1">
        <f t="array" ref="DG19">lb_call_price_mc($C$6,$C$7,$C$8,$C$9,$C$10,$C$11,DG18,$C$13)</f>
        <v>18.542743520993405</v>
      </c>
      <c r="DH19" s="20" cm="1">
        <f t="array" ref="DH19">lb_call_price_mc($C$6,$C$7,$C$8,$C$9,$C$10,$C$11,DH18,$C$13)</f>
        <v>18.755619194938319</v>
      </c>
      <c r="DI19" s="20" cm="1">
        <f t="array" ref="DI19">lb_call_price_mc($C$6,$C$7,$C$8,$C$9,$C$10,$C$11,DI18,$C$13)</f>
        <v>18.672473715832144</v>
      </c>
      <c r="DJ19" s="20" cm="1">
        <f t="array" ref="DJ19">lb_call_price_mc($C$6,$C$7,$C$8,$C$9,$C$10,$C$11,DJ18,$C$13)</f>
        <v>18.547361800396118</v>
      </c>
      <c r="DL19" cm="1">
        <f t="array" ref="DL19">lb_call_price_bb_asymptotic(C6,C7,C8,C9,C10)</f>
        <v>16.872782328363847</v>
      </c>
      <c r="DM19">
        <f>DL19</f>
        <v>16.872782328363847</v>
      </c>
    </row>
    <row r="20" spans="1:117" ht="20.55" customHeight="1" thickTop="1" thickBot="1" x14ac:dyDescent="0.5">
      <c r="A20" s="13" t="s">
        <v>18</v>
      </c>
      <c r="B20" s="15" t="s">
        <v>29</v>
      </c>
      <c r="C20" s="12" cm="1">
        <f t="array" ref="C20">_xlfn.SWITCH(
  $B$3,
  "Lookback Call",    lb_call_delta_mc($C$6,$C$7,$C$8,$C$9,$C$10,$C$11,$C$12,$C$13),
  "Lookback Put",     lb_put_delta_mc($C$6,$C$7,$C$8,$C$9,$C$10,$C$11,$C$12,$C$13))</f>
        <v>0.11682737522750146</v>
      </c>
      <c r="D20" s="17" cm="1">
        <f t="array" ref="D20">_xlfn.SWITCH(
  $B$3,
  "Lookback Call",    lb_call_delta_mc_se($C$6,$C$7,$C$8,$C$9,$C$10,$C$11,$C$12,$C$13),
  "Lookback Put",     lb_put_delta_mc_se($C$6,$C$7,$C$8,$C$9,$C$10,$C$11,$C$12,$C$13))</f>
        <v>9.8956567779603186E-3</v>
      </c>
      <c r="E20" s="17" cm="1">
        <f t="array" ref="E20">_xlfn.SWITCH(
  $B$3,
  "Lookback Call",    lb_call_delta_mc_ci_low($C$6,$C$7,$C$8,$C$9,$C$10,$C$11,$C$12,$C$13),
  "Lookback Put",     lb_put_delta_mc_ci_low($C$6,$C$7,$C$8,$C$9,$C$10,$C$11,$C$12,$C$13))</f>
        <v>9.7431887942699233E-2</v>
      </c>
      <c r="F20" s="17" cm="1">
        <f t="array" ref="F20">_xlfn.SWITCH(
  $B$3,
  "Lookback Call",    lb_call_delta_mc_ci_high($C$6,$C$7,$C$8,$C$9,$C$10,$C$11,$C$12,$C$13),
  "Lookback Put",     lb_put_delta_mc_ci_high($C$6,$C$7,$C$8,$C$9,$C$10,$C$11,$C$12,$C$13))</f>
        <v>0.13622286251230367</v>
      </c>
      <c r="G20" s="12" cm="1">
        <f t="array" ref="G20">_xlfn.SWITCH(
  $B$3,
  "Lookback Call",    lb_call_delta_mc_vr($C$6,$C$7,$C$8,$C$9,$C$10,$C$11,$C$12,$C$13),
  "Lookback Put",     lb_put_delta_mc_vr($C$6,$C$7,$C$8,$C$9,$C$10,$C$11,$C$12,$C$13))</f>
        <v>0.12936786938198311</v>
      </c>
      <c r="H20" s="17" cm="1">
        <f t="array" ref="H20">_xlfn.SWITCH(
  $B$3,
  "Lookback Call",    lb_call_delta_mc_vr_se($C$6,$C$7,$C$8,$C$9,$C$10,$C$11,$C$12,$C$13),
  "Lookback Put",     lb_put_delta_mc_vr_se($C$6,$C$7,$C$8,$C$9,$C$10,$C$11,$C$12,$C$13))</f>
        <v>6.2741371896691944E-3</v>
      </c>
      <c r="I20" s="17" cm="1">
        <f t="array" ref="I20">_xlfn.SWITCH(
  $B$3,
  "Lookback Call",    lb_call_delta_mc_vr_ci_low($C$6,$C$7,$C$8,$C$9,$C$10,$C$11,$C$12,$C$13),
  "Lookback Put",     lb_put_delta_mc_vr_ci_low($C$6,$C$7,$C$8,$C$9,$C$10,$C$11,$C$12,$C$13))</f>
        <v>0.11707056049023148</v>
      </c>
      <c r="J20" s="17" cm="1">
        <f t="array" ref="J20">_xlfn.SWITCH(
  $B$3,
  "Lookback Call",    lb_call_delta_mc_vr_ci_high($C$6,$C$7,$C$8,$C$9,$C$10,$C$11,$C$12,$C$13),
  "Lookback Put",     lb_put_delta_mc_vr_ci_high($C$6,$C$7,$C$8,$C$9,$C$10,$C$11,$C$12,$C$13))</f>
        <v>0.14166517827373473</v>
      </c>
      <c r="N20" s="20" t="s">
        <v>43</v>
      </c>
      <c r="O20" s="20" cm="1">
        <f t="array" ref="O20">lb_call_price_mc_vr($C$6,$C$7,$C$8,$C$9,$C$10,$C$11,O18,$C$13)</f>
        <v>13.308251734278892</v>
      </c>
      <c r="P20" s="20" cm="1">
        <f t="array" ref="P20">lb_call_price_mc_vr($C$6,$C$7,$C$8,$C$9,$C$10,$C$11,P18,$C$13)</f>
        <v>14.03798486189419</v>
      </c>
      <c r="Q20" s="20" cm="1">
        <f t="array" ref="Q20">lb_call_price_mc_vr($C$6,$C$7,$C$8,$C$9,$C$10,$C$11,Q18,$C$13)</f>
        <v>15.008647372910549</v>
      </c>
      <c r="R20" s="20" cm="1">
        <f t="array" ref="R20">lb_call_price_mc_vr($C$6,$C$7,$C$8,$C$9,$C$10,$C$11,R18,$C$13)</f>
        <v>14.945135945860835</v>
      </c>
      <c r="S20" s="20" cm="1">
        <f t="array" ref="S20">lb_call_price_mc_vr($C$6,$C$7,$C$8,$C$9,$C$10,$C$11,S18,$C$13)</f>
        <v>14.50479423028027</v>
      </c>
      <c r="T20" s="20" cm="1">
        <f t="array" ref="T20">lb_call_price_mc_vr($C$6,$C$7,$C$8,$C$9,$C$10,$C$11,T18,$C$13)</f>
        <v>14.538478777469861</v>
      </c>
      <c r="U20" s="20" cm="1">
        <f t="array" ref="U20">lb_call_price_mc_vr($C$6,$C$7,$C$8,$C$9,$C$10,$C$11,U18,$C$13)</f>
        <v>14.583636523382037</v>
      </c>
      <c r="V20" s="20" cm="1">
        <f t="array" ref="V20">lb_call_price_mc_vr($C$6,$C$7,$C$8,$C$9,$C$10,$C$11,V18,$C$13)</f>
        <v>14.943157293134165</v>
      </c>
      <c r="W20" s="20" cm="1">
        <f t="array" ref="W20">lb_call_price_mc_vr($C$6,$C$7,$C$8,$C$9,$C$10,$C$11,W18,$C$13)</f>
        <v>14.783734157216726</v>
      </c>
      <c r="X20" s="20" cm="1">
        <f t="array" ref="X20">lb_call_price_mc_vr($C$6,$C$7,$C$8,$C$9,$C$10,$C$11,X18,$C$13)</f>
        <v>14.487726030695036</v>
      </c>
      <c r="Y20" s="20" cm="1">
        <f t="array" ref="Y20">lb_call_price_mc_vr($C$6,$C$7,$C$8,$C$9,$C$10,$C$11,Y18,$C$13)</f>
        <v>15.17372664471729</v>
      </c>
      <c r="Z20" s="20" cm="1">
        <f t="array" ref="Z20">lb_call_price_mc_vr($C$6,$C$7,$C$8,$C$9,$C$10,$C$11,Z18,$C$13)</f>
        <v>14.749230721470212</v>
      </c>
      <c r="AA20" s="20" cm="1">
        <f t="array" ref="AA20">lb_call_price_mc_vr($C$6,$C$7,$C$8,$C$9,$C$10,$C$11,AA18,$C$13)</f>
        <v>14.971747420568924</v>
      </c>
      <c r="AB20" s="20" cm="1">
        <f t="array" ref="AB20">lb_call_price_mc_vr($C$6,$C$7,$C$8,$C$9,$C$10,$C$11,AB18,$C$13)</f>
        <v>14.869628595688184</v>
      </c>
      <c r="AC20" s="20" cm="1">
        <f t="array" ref="AC20">lb_call_price_mc_vr($C$6,$C$7,$C$8,$C$9,$C$10,$C$11,AC18,$C$13)</f>
        <v>15.247343861391197</v>
      </c>
      <c r="AD20" s="20" cm="1">
        <f t="array" ref="AD20">lb_call_price_mc_vr($C$6,$C$7,$C$8,$C$9,$C$10,$C$11,AD18,$C$13)</f>
        <v>15.758797641157715</v>
      </c>
      <c r="AE20" s="20" cm="1">
        <f t="array" ref="AE20">lb_call_price_mc_vr($C$6,$C$7,$C$8,$C$9,$C$10,$C$11,AE18,$C$13)</f>
        <v>15.508413146788088</v>
      </c>
      <c r="AF20" s="20" cm="1">
        <f t="array" ref="AF20">lb_call_price_mc_vr($C$6,$C$7,$C$8,$C$9,$C$10,$C$11,AF18,$C$13)</f>
        <v>14.706055017854467</v>
      </c>
      <c r="AG20" s="20" cm="1">
        <f t="array" ref="AG20">lb_call_price_mc_vr($C$6,$C$7,$C$8,$C$9,$C$10,$C$11,AG18,$C$13)</f>
        <v>14.370465274880171</v>
      </c>
      <c r="AH20" s="20" cm="1">
        <f t="array" ref="AH20">lb_call_price_mc_vr($C$6,$C$7,$C$8,$C$9,$C$10,$C$11,AH18,$C$13)</f>
        <v>15.284783781946579</v>
      </c>
      <c r="AI20" s="20" cm="1">
        <f t="array" ref="AI20">lb_call_price_mc_vr($C$6,$C$7,$C$8,$C$9,$C$10,$C$11,AI18,$C$13)</f>
        <v>14.213081412375784</v>
      </c>
      <c r="AJ20" s="20" cm="1">
        <f t="array" ref="AJ20">lb_call_price_mc_vr($C$6,$C$7,$C$8,$C$9,$C$10,$C$11,AJ18,$C$13)</f>
        <v>15.31309008121368</v>
      </c>
      <c r="AK20" s="20" cm="1">
        <f t="array" ref="AK20">lb_call_price_mc_vr($C$6,$C$7,$C$8,$C$9,$C$10,$C$11,AK18,$C$13)</f>
        <v>15.192727912105704</v>
      </c>
      <c r="AL20" s="20" cm="1">
        <f t="array" ref="AL20">lb_call_price_mc_vr($C$6,$C$7,$C$8,$C$9,$C$10,$C$11,AL18,$C$13)</f>
        <v>14.568966141406239</v>
      </c>
      <c r="AM20" s="20" cm="1">
        <f t="array" ref="AM20">lb_call_price_mc_vr($C$6,$C$7,$C$8,$C$9,$C$10,$C$11,AM18,$C$13)</f>
        <v>14.602113762378112</v>
      </c>
      <c r="AN20" s="20" cm="1">
        <f t="array" ref="AN20">lb_call_price_mc_vr($C$6,$C$7,$C$8,$C$9,$C$10,$C$11,AN18,$C$13)</f>
        <v>14.400610796535696</v>
      </c>
      <c r="AO20" s="20" cm="1">
        <f t="array" ref="AO20">lb_call_price_mc_vr($C$6,$C$7,$C$8,$C$9,$C$10,$C$11,AO18,$C$13)</f>
        <v>14.732942105404977</v>
      </c>
      <c r="AP20" s="20" cm="1">
        <f t="array" ref="AP20">lb_call_price_mc_vr($C$6,$C$7,$C$8,$C$9,$C$10,$C$11,AP18,$C$13)</f>
        <v>14.417325211010924</v>
      </c>
      <c r="AQ20" s="20" cm="1">
        <f t="array" ref="AQ20">lb_call_price_mc_vr($C$6,$C$7,$C$8,$C$9,$C$10,$C$11,AQ18,$C$13)</f>
        <v>14.62007399645614</v>
      </c>
      <c r="AR20" s="20" cm="1">
        <f t="array" ref="AR20">lb_call_price_mc_vr($C$6,$C$7,$C$8,$C$9,$C$10,$C$11,AR18,$C$13)</f>
        <v>15.197678574751093</v>
      </c>
      <c r="AS20" s="20" cm="1">
        <f t="array" ref="AS20">lb_call_price_mc_vr($C$6,$C$7,$C$8,$C$9,$C$10,$C$11,AS18,$C$13)</f>
        <v>15.419790813451655</v>
      </c>
      <c r="AT20" s="20" cm="1">
        <f t="array" ref="AT20">lb_call_price_mc_vr($C$6,$C$7,$C$8,$C$9,$C$10,$C$11,AT18,$C$13)</f>
        <v>15.685733379174454</v>
      </c>
      <c r="AU20" s="20" cm="1">
        <f t="array" ref="AU20">lb_call_price_mc_vr($C$6,$C$7,$C$8,$C$9,$C$10,$C$11,AU18,$C$13)</f>
        <v>16.686799413235143</v>
      </c>
      <c r="AV20" s="20" cm="1">
        <f t="array" ref="AV20">lb_call_price_mc_vr($C$6,$C$7,$C$8,$C$9,$C$10,$C$11,AV18,$C$13)</f>
        <v>15.754922663503795</v>
      </c>
      <c r="AW20" s="20" cm="1">
        <f t="array" ref="AW20">lb_call_price_mc_vr($C$6,$C$7,$C$8,$C$9,$C$10,$C$11,AW18,$C$13)</f>
        <v>15.740756004078497</v>
      </c>
      <c r="AX20" s="20" cm="1">
        <f t="array" ref="AX20">lb_call_price_mc_vr($C$6,$C$7,$C$8,$C$9,$C$10,$C$11,AX18,$C$13)</f>
        <v>15.952822674697472</v>
      </c>
      <c r="AY20" s="20" cm="1">
        <f t="array" ref="AY20">lb_call_price_mc_vr($C$6,$C$7,$C$8,$C$9,$C$10,$C$11,AY18,$C$13)</f>
        <v>15.68958733478693</v>
      </c>
      <c r="AZ20" s="20" cm="1">
        <f t="array" ref="AZ20">lb_call_price_mc_vr($C$6,$C$7,$C$8,$C$9,$C$10,$C$11,AZ18,$C$13)</f>
        <v>15.186779324376227</v>
      </c>
      <c r="BA20" s="20" cm="1">
        <f t="array" ref="BA20">lb_call_price_mc_vr($C$6,$C$7,$C$8,$C$9,$C$10,$C$11,BA18,$C$13)</f>
        <v>15.418221069003883</v>
      </c>
      <c r="BB20" s="20" cm="1">
        <f t="array" ref="BB20">lb_call_price_mc_vr($C$6,$C$7,$C$8,$C$9,$C$10,$C$11,BB18,$C$13)</f>
        <v>16.861472897373702</v>
      </c>
      <c r="BC20" s="20" cm="1">
        <f t="array" ref="BC20">lb_call_price_mc_vr($C$6,$C$7,$C$8,$C$9,$C$10,$C$11,BC18,$C$13)</f>
        <v>16.06966868488454</v>
      </c>
      <c r="BD20" s="20" cm="1">
        <f t="array" ref="BD20">lb_call_price_mc_vr($C$6,$C$7,$C$8,$C$9,$C$10,$C$11,BD18,$C$13)</f>
        <v>16.138364726508449</v>
      </c>
      <c r="BE20" s="20" cm="1">
        <f t="array" ref="BE20">lb_call_price_mc_vr($C$6,$C$7,$C$8,$C$9,$C$10,$C$11,BE18,$C$13)</f>
        <v>16.23936192011482</v>
      </c>
      <c r="BF20" s="20" cm="1">
        <f t="array" ref="BF20">lb_call_price_mc_vr($C$6,$C$7,$C$8,$C$9,$C$10,$C$11,BF18,$C$13)</f>
        <v>16.683865126840047</v>
      </c>
      <c r="BG20" s="20" cm="1">
        <f t="array" ref="BG20">lb_call_price_mc_vr($C$6,$C$7,$C$8,$C$9,$C$10,$C$11,BG18,$C$13)</f>
        <v>16.892993383341611</v>
      </c>
      <c r="BH20" s="20" cm="1">
        <f t="array" ref="BH20">lb_call_price_mc_vr($C$6,$C$7,$C$8,$C$9,$C$10,$C$11,BH18,$C$13)</f>
        <v>16.89083727755564</v>
      </c>
      <c r="BI20" s="20" cm="1">
        <f t="array" ref="BI20">lb_call_price_mc_vr($C$6,$C$7,$C$8,$C$9,$C$10,$C$11,BI18,$C$13)</f>
        <v>16.676150358132809</v>
      </c>
      <c r="BJ20" s="20" cm="1">
        <f t="array" ref="BJ20">lb_call_price_mc_vr($C$6,$C$7,$C$8,$C$9,$C$10,$C$11,BJ18,$C$13)</f>
        <v>15.939701939753194</v>
      </c>
      <c r="BK20" s="20" cm="1">
        <f t="array" ref="BK20">lb_call_price_mc_vr($C$6,$C$7,$C$8,$C$9,$C$10,$C$11,BK18,$C$13)</f>
        <v>16.576508169684836</v>
      </c>
      <c r="BL20" s="20" cm="1">
        <f t="array" ref="BL20">lb_call_price_mc_vr($C$6,$C$7,$C$8,$C$9,$C$10,$C$11,BL18,$C$13)</f>
        <v>16.80873509344066</v>
      </c>
      <c r="BM20" s="20" cm="1">
        <f t="array" ref="BM20">lb_call_price_mc_vr($C$6,$C$7,$C$8,$C$9,$C$10,$C$11,BM18,$C$13)</f>
        <v>16.772477961550404</v>
      </c>
      <c r="BN20" s="20" cm="1">
        <f t="array" ref="BN20">lb_call_price_mc_vr($C$6,$C$7,$C$8,$C$9,$C$10,$C$11,BN18,$C$13)</f>
        <v>16.866863257133257</v>
      </c>
      <c r="BO20" s="20" cm="1">
        <f t="array" ref="BO20">lb_call_price_mc_vr($C$6,$C$7,$C$8,$C$9,$C$10,$C$11,BO18,$C$13)</f>
        <v>16.466509708321176</v>
      </c>
      <c r="BP20" s="20" cm="1">
        <f t="array" ref="BP20">lb_call_price_mc_vr($C$6,$C$7,$C$8,$C$9,$C$10,$C$11,BP18,$C$13)</f>
        <v>16.691283727851882</v>
      </c>
      <c r="BQ20" s="20" cm="1">
        <f t="array" ref="BQ20">lb_call_price_mc_vr($C$6,$C$7,$C$8,$C$9,$C$10,$C$11,BQ18,$C$13)</f>
        <v>16.356420449928859</v>
      </c>
      <c r="BR20" s="20" cm="1">
        <f t="array" ref="BR20">lb_call_price_mc_vr($C$6,$C$7,$C$8,$C$9,$C$10,$C$11,BR18,$C$13)</f>
        <v>16.411716049331542</v>
      </c>
      <c r="BS20" s="20" cm="1">
        <f t="array" ref="BS20">lb_call_price_mc_vr($C$6,$C$7,$C$8,$C$9,$C$10,$C$11,BS18,$C$13)</f>
        <v>16.50364968093179</v>
      </c>
      <c r="BT20" s="20" cm="1">
        <f t="array" ref="BT20">lb_call_price_mc_vr($C$6,$C$7,$C$8,$C$9,$C$10,$C$11,BT18,$C$13)</f>
        <v>15.663003928582262</v>
      </c>
      <c r="BU20" s="20" cm="1">
        <f t="array" ref="BU20">lb_call_price_mc_vr($C$6,$C$7,$C$8,$C$9,$C$10,$C$11,BU18,$C$13)</f>
        <v>16.736345365405764</v>
      </c>
      <c r="BV20" s="20" cm="1">
        <f t="array" ref="BV20">lb_call_price_mc_vr($C$6,$C$7,$C$8,$C$9,$C$10,$C$11,BV18,$C$13)</f>
        <v>16.961365104287079</v>
      </c>
      <c r="BW20" s="20" cm="1">
        <f t="array" ref="BW20">lb_call_price_mc_vr($C$6,$C$7,$C$8,$C$9,$C$10,$C$11,BW18,$C$13)</f>
        <v>16.768662297786339</v>
      </c>
      <c r="BX20" s="20" cm="1">
        <f t="array" ref="BX20">lb_call_price_mc_vr($C$6,$C$7,$C$8,$C$9,$C$10,$C$11,BX18,$C$13)</f>
        <v>16.328628468795575</v>
      </c>
      <c r="BY20" s="20" cm="1">
        <f t="array" ref="BY20">lb_call_price_mc_vr($C$6,$C$7,$C$8,$C$9,$C$10,$C$11,BY18,$C$13)</f>
        <v>16.941227015488707</v>
      </c>
      <c r="BZ20" s="20" cm="1">
        <f t="array" ref="BZ20">lb_call_price_mc_vr($C$6,$C$7,$C$8,$C$9,$C$10,$C$11,BZ18,$C$13)</f>
        <v>16.892534327113253</v>
      </c>
      <c r="CA20" s="20" cm="1">
        <f t="array" ref="CA20">lb_call_price_mc_vr($C$6,$C$7,$C$8,$C$9,$C$10,$C$11,CA18,$C$13)</f>
        <v>16.699414859368247</v>
      </c>
      <c r="CB20" s="20" cm="1">
        <f t="array" ref="CB20">lb_call_price_mc_vr($C$6,$C$7,$C$8,$C$9,$C$10,$C$11,CB18,$C$13)</f>
        <v>16.693412292981016</v>
      </c>
      <c r="CC20" s="20" cm="1">
        <f t="array" ref="CC20">lb_call_price_mc_vr($C$6,$C$7,$C$8,$C$9,$C$10,$C$11,CC18,$C$13)</f>
        <v>17.467116240168316</v>
      </c>
      <c r="CD20" s="20" cm="1">
        <f t="array" ref="CD20">lb_call_price_mc_vr($C$6,$C$7,$C$8,$C$9,$C$10,$C$11,CD18,$C$13)</f>
        <v>16.730079482926136</v>
      </c>
      <c r="CE20" s="20" cm="1">
        <f t="array" ref="CE20">lb_call_price_mc_vr($C$6,$C$7,$C$8,$C$9,$C$10,$C$11,CE18,$C$13)</f>
        <v>17.174418370627397</v>
      </c>
      <c r="CF20" s="20" cm="1">
        <f t="array" ref="CF20">lb_call_price_mc_vr($C$6,$C$7,$C$8,$C$9,$C$10,$C$11,CF18,$C$13)</f>
        <v>16.78791898655518</v>
      </c>
      <c r="CG20" s="20" cm="1">
        <f t="array" ref="CG20">lb_call_price_mc_vr($C$6,$C$7,$C$8,$C$9,$C$10,$C$11,CG18,$C$13)</f>
        <v>16.910038687883333</v>
      </c>
      <c r="CH20" s="20" cm="1">
        <f t="array" ref="CH20">lb_call_price_mc_vr($C$6,$C$7,$C$8,$C$9,$C$10,$C$11,CH18,$C$13)</f>
        <v>17.051561922864845</v>
      </c>
      <c r="CI20" s="20" cm="1">
        <f t="array" ref="CI20">lb_call_price_mc_vr($C$6,$C$7,$C$8,$C$9,$C$10,$C$11,CI18,$C$13)</f>
        <v>17.130501047700957</v>
      </c>
      <c r="CJ20" s="20" cm="1">
        <f t="array" ref="CJ20">lb_call_price_mc_vr($C$6,$C$7,$C$8,$C$9,$C$10,$C$11,CJ18,$C$13)</f>
        <v>15.683158864347009</v>
      </c>
      <c r="CK20" s="20" cm="1">
        <f t="array" ref="CK20">lb_call_price_mc_vr($C$6,$C$7,$C$8,$C$9,$C$10,$C$11,CK18,$C$13)</f>
        <v>16.96362022783175</v>
      </c>
      <c r="CL20" s="20" cm="1">
        <f t="array" ref="CL20">lb_call_price_mc_vr($C$6,$C$7,$C$8,$C$9,$C$10,$C$11,CL18,$C$13)</f>
        <v>16.17116770100408</v>
      </c>
      <c r="CM20" s="20" cm="1">
        <f t="array" ref="CM20">lb_call_price_mc_vr($C$6,$C$7,$C$8,$C$9,$C$10,$C$11,CM18,$C$13)</f>
        <v>16.570196602655848</v>
      </c>
      <c r="CN20" s="20" cm="1">
        <f t="array" ref="CN20">lb_call_price_mc_vr($C$6,$C$7,$C$8,$C$9,$C$10,$C$11,CN18,$C$13)</f>
        <v>16.249164006077933</v>
      </c>
      <c r="CO20" s="20" cm="1">
        <f t="array" ref="CO20">lb_call_price_mc_vr($C$6,$C$7,$C$8,$C$9,$C$10,$C$11,CO18,$C$13)</f>
        <v>16.652544065279432</v>
      </c>
      <c r="CP20" s="20" cm="1">
        <f t="array" ref="CP20">lb_call_price_mc_vr($C$6,$C$7,$C$8,$C$9,$C$10,$C$11,CP18,$C$13)</f>
        <v>16.950873914812831</v>
      </c>
      <c r="CQ20" s="20" cm="1">
        <f t="array" ref="CQ20">lb_call_price_mc_vr($C$6,$C$7,$C$8,$C$9,$C$10,$C$11,CQ18,$C$13)</f>
        <v>16.572742728602393</v>
      </c>
      <c r="CR20" s="20" cm="1">
        <f t="array" ref="CR20">lb_call_price_mc_vr($C$6,$C$7,$C$8,$C$9,$C$10,$C$11,CR18,$C$13)</f>
        <v>16.353181446560122</v>
      </c>
      <c r="CS20" s="20" cm="1">
        <f t="array" ref="CS20">lb_call_price_mc_vr($C$6,$C$7,$C$8,$C$9,$C$10,$C$11,CS18,$C$13)</f>
        <v>17.798334781757642</v>
      </c>
      <c r="CT20" s="20" cm="1">
        <f t="array" ref="CT20">lb_call_price_mc_vr($C$6,$C$7,$C$8,$C$9,$C$10,$C$11,CT18,$C$13)</f>
        <v>16.416882671225842</v>
      </c>
      <c r="CU20" s="20" cm="1">
        <f t="array" ref="CU20">lb_call_price_mc_vr($C$6,$C$7,$C$8,$C$9,$C$10,$C$11,CU18,$C$13)</f>
        <v>16.274478912354148</v>
      </c>
      <c r="CV20" s="20" cm="1">
        <f t="array" ref="CV20">lb_call_price_mc_vr($C$6,$C$7,$C$8,$C$9,$C$10,$C$11,CV18,$C$13)</f>
        <v>16.92220473220188</v>
      </c>
      <c r="CW20" s="20" cm="1">
        <f t="array" ref="CW20">lb_call_price_mc_vr($C$6,$C$7,$C$8,$C$9,$C$10,$C$11,CW18,$C$13)</f>
        <v>16.069566444761904</v>
      </c>
      <c r="CX20" s="20" cm="1">
        <f t="array" ref="CX20">lb_call_price_mc_vr($C$6,$C$7,$C$8,$C$9,$C$10,$C$11,CX18,$C$13)</f>
        <v>17.389807105344481</v>
      </c>
      <c r="CY20" s="20" cm="1">
        <f t="array" ref="CY20">lb_call_price_mc_vr($C$6,$C$7,$C$8,$C$9,$C$10,$C$11,CY18,$C$13)</f>
        <v>17.082922359378998</v>
      </c>
      <c r="CZ20" s="20" cm="1">
        <f t="array" ref="CZ20">lb_call_price_mc_vr($C$6,$C$7,$C$8,$C$9,$C$10,$C$11,CZ18,$C$13)</f>
        <v>17.144221476516702</v>
      </c>
      <c r="DA20" s="20" cm="1">
        <f t="array" ref="DA20">lb_call_price_mc_vr($C$6,$C$7,$C$8,$C$9,$C$10,$C$11,DA18,$C$13)</f>
        <v>16.05466249866739</v>
      </c>
      <c r="DB20" s="20" cm="1">
        <f t="array" ref="DB20">lb_call_price_mc_vr($C$6,$C$7,$C$8,$C$9,$C$10,$C$11,DB18,$C$13)</f>
        <v>16.789678631135267</v>
      </c>
      <c r="DC20" s="20" cm="1">
        <f t="array" ref="DC20">lb_call_price_mc_vr($C$6,$C$7,$C$8,$C$9,$C$10,$C$11,DC18,$C$13)</f>
        <v>16.669986578545512</v>
      </c>
      <c r="DD20" s="20" cm="1">
        <f t="array" ref="DD20">lb_call_price_mc_vr($C$6,$C$7,$C$8,$C$9,$C$10,$C$11,DD18,$C$13)</f>
        <v>17.197201147503616</v>
      </c>
      <c r="DE20" s="20" cm="1">
        <f t="array" ref="DE20">lb_call_price_mc_vr($C$6,$C$7,$C$8,$C$9,$C$10,$C$11,DE18,$C$13)</f>
        <v>16.150098097647675</v>
      </c>
      <c r="DF20" s="20" cm="1">
        <f t="array" ref="DF20">lb_call_price_mc_vr($C$6,$C$7,$C$8,$C$9,$C$10,$C$11,DF18,$C$13)</f>
        <v>15.848466177123088</v>
      </c>
      <c r="DG20" s="20" cm="1">
        <f t="array" ref="DG20">lb_call_price_mc_vr($C$6,$C$7,$C$8,$C$9,$C$10,$C$11,DG18,$C$13)</f>
        <v>16.545982148739022</v>
      </c>
      <c r="DH20" s="20" cm="1">
        <f t="array" ref="DH20">lb_call_price_mc_vr($C$6,$C$7,$C$8,$C$9,$C$10,$C$11,DH18,$C$13)</f>
        <v>15.792950324225542</v>
      </c>
      <c r="DI20" s="20" cm="1">
        <f t="array" ref="DI20">lb_call_price_mc_vr($C$6,$C$7,$C$8,$C$9,$C$10,$C$11,DI18,$C$13)</f>
        <v>16.356167274761265</v>
      </c>
      <c r="DJ20" s="20" cm="1">
        <f t="array" ref="DJ20">lb_call_price_mc_vr($C$6,$C$7,$C$8,$C$9,$C$10,$C$11,DJ18,$C$13)</f>
        <v>16.775238212870555</v>
      </c>
    </row>
    <row r="21" spans="1:117" ht="20.55" customHeight="1" thickTop="1" thickBot="1" x14ac:dyDescent="0.5">
      <c r="A21" s="13" t="s">
        <v>19</v>
      </c>
      <c r="B21" s="15" t="s">
        <v>30</v>
      </c>
      <c r="C21" s="19" cm="1">
        <f t="array" ref="C21">_xlfn.SWITCH(
  $B$3,
  "Lookback Call",    lb_call_gamma_mc($C$6,$C$7,$C$8,$C$9,$C$10,$C$11,$C$12,$C$13),
  "Lookback Put",     lb_put_gamma_mc($C$6,$C$7,$C$8,$C$9,$C$10,$C$11,$C$12,$C$13))</f>
        <v>5.8342219944051976E-13</v>
      </c>
      <c r="D21" s="18" cm="1">
        <f t="array" ref="D21">_xlfn.SWITCH(
  $B$3,
  "Lookback Call",    lb_call_gamma_mc_se($C$6,$C$7,$C$8,$C$9,$C$10,$C$11,$C$12,$C$13),
  "Lookback Put",     lb_put_gamma_mc_se($C$6,$C$7,$C$8,$C$9,$C$10,$C$11,$C$12,$C$13))</f>
        <v>5.4402862937822545E-13</v>
      </c>
      <c r="E21" s="18" cm="1">
        <f t="array" ref="E21">_xlfn.SWITCH(
  $B$3,
  "Lookback Call",    lb_call_gamma_mc_ci_low($C$6,$C$7,$C$8,$C$9,$C$10,$C$11,$C$12,$C$13),
  "Lookback Put",     lb_put_gamma_mc_ci_low($C$6,$C$7,$C$8,$C$9,$C$10,$C$11,$C$12,$C$13))</f>
        <v>-4.8287391414080219E-13</v>
      </c>
      <c r="F21" s="18" cm="1">
        <f t="array" ref="F21">_xlfn.SWITCH(
  $B$3,
  "Lookback Call",    lb_call_gamma_mc_ci_high($C$6,$C$7,$C$8,$C$9,$C$10,$C$11,$C$12,$C$13),
  "Lookback Put",     lb_put_gamma_mc_ci_high($C$6,$C$7,$C$8,$C$9,$C$10,$C$11,$C$12,$C$13))</f>
        <v>1.6497183130218417E-12</v>
      </c>
      <c r="G21" s="19" cm="1">
        <f t="array" ref="G21">_xlfn.SWITCH(
  $B$3,
  "Lookback Call",    lb_call_gamma_mc_vr($C$6,$C$7,$C$8,$C$9,$C$10,$C$11,$C$12,$C$13),
  "Lookback Put",     lb_put_gamma_mc_vr($C$6,$C$7,$C$8,$C$9,$C$10,$C$11,$C$12,$C$13))</f>
        <v>-4.0412118096355718E-13</v>
      </c>
      <c r="H21" s="18" cm="1">
        <f t="array" ref="H21">_xlfn.SWITCH(
  $B$3,
  "Lookback Call",    lb_call_gamma_mc_vr_se($C$6,$C$7,$C$8,$C$9,$C$10,$C$11,$C$12,$C$13),
  "Lookback Put",     lb_put_gamma_mc_vr_se($C$6,$C$7,$C$8,$C$9,$C$10,$C$11,$C$12,$C$13))</f>
        <v>5.7196524345071573E-13</v>
      </c>
      <c r="I21" s="18" cm="1">
        <f t="array" ref="I21">_xlfn.SWITCH(
  $B$3,
  "Lookback Call",    lb_call_gamma_mc_vr_ci_low($C$6,$C$7,$C$8,$C$9,$C$10,$C$11,$C$12,$C$13),
  "Lookback Put",     lb_put_gamma_mc_vr_ci_low($C$6,$C$7,$C$8,$C$9,$C$10,$C$11,$C$12,$C$13))</f>
        <v>-1.5251730581269601E-12</v>
      </c>
      <c r="J21" s="18" cm="1">
        <f t="array" ref="J21">_xlfn.SWITCH(
  $B$3,
  "Lookback Call",    lb_call_gamma_mc_vr_ci_high($C$6,$C$7,$C$8,$C$9,$C$10,$C$11,$C$12,$C$13),
  "Lookback Put",     lb_put_gamma_mc_vr_ci_high($C$6,$C$7,$C$8,$C$9,$C$10,$C$11,$C$12,$C$13))</f>
        <v>7.1693069619984569E-13</v>
      </c>
      <c r="N21" s="20" t="s">
        <v>44</v>
      </c>
      <c r="O21" s="20" cm="1">
        <f t="array" ref="O21">lb_put_price_mc($C$6,$C$7,$C$8,$C$9,$C$10,$C$11,O18,$C$13)</f>
        <v>5.7468911502056734</v>
      </c>
      <c r="P21" s="20" cm="1">
        <f t="array" ref="P21">lb_put_price_mc($C$6,$C$7,$C$8,$C$9,$C$10,$C$11,P18,$C$13)</f>
        <v>9.2867036873590472</v>
      </c>
      <c r="Q21" s="20" cm="1">
        <f t="array" ref="Q21">lb_put_price_mc($C$6,$C$7,$C$8,$C$9,$C$10,$C$11,Q18,$C$13)</f>
        <v>9.1220853344559405</v>
      </c>
      <c r="R21" s="20" cm="1">
        <f t="array" ref="R21">lb_put_price_mc($C$6,$C$7,$C$8,$C$9,$C$10,$C$11,R18,$C$13)</f>
        <v>9.0318727755517472</v>
      </c>
      <c r="S21" s="20" cm="1">
        <f t="array" ref="S21">lb_put_price_mc($C$6,$C$7,$C$8,$C$9,$C$10,$C$11,S18,$C$13)</f>
        <v>9.2889699469452065</v>
      </c>
      <c r="T21" s="20" cm="1">
        <f t="array" ref="T21">lb_put_price_mc($C$6,$C$7,$C$8,$C$9,$C$10,$C$11,T18,$C$13)</f>
        <v>10.508622009161829</v>
      </c>
      <c r="U21" s="20" cm="1">
        <f t="array" ref="U21">lb_put_price_mc($C$6,$C$7,$C$8,$C$9,$C$10,$C$11,U18,$C$13)</f>
        <v>10.069891972395627</v>
      </c>
      <c r="V21" s="20" cm="1">
        <f t="array" ref="V21">lb_put_price_mc($C$6,$C$7,$C$8,$C$9,$C$10,$C$11,V18,$C$13)</f>
        <v>10.084457844819935</v>
      </c>
      <c r="W21" s="20" cm="1">
        <f t="array" ref="W21">lb_put_price_mc($C$6,$C$7,$C$8,$C$9,$C$10,$C$11,W18,$C$13)</f>
        <v>10.611285045017119</v>
      </c>
      <c r="X21" s="20" cm="1">
        <f t="array" ref="X21">lb_put_price_mc($C$6,$C$7,$C$8,$C$9,$C$10,$C$11,X18,$C$13)</f>
        <v>10.081666072782888</v>
      </c>
      <c r="Y21" s="20" cm="1">
        <f t="array" ref="Y21">lb_put_price_mc($C$6,$C$7,$C$8,$C$9,$C$10,$C$11,Y18,$C$13)</f>
        <v>10.558212938641271</v>
      </c>
      <c r="Z21" s="20" cm="1">
        <f t="array" ref="Z21">lb_put_price_mc($C$6,$C$7,$C$8,$C$9,$C$10,$C$11,Z18,$C$13)</f>
        <v>9.6817093883156637</v>
      </c>
      <c r="AA21" s="20" cm="1">
        <f t="array" ref="AA21">lb_put_price_mc($C$6,$C$7,$C$8,$C$9,$C$10,$C$11,AA18,$C$13)</f>
        <v>9.9175583403819942</v>
      </c>
      <c r="AB21" s="20" cm="1">
        <f t="array" ref="AB21">lb_put_price_mc($C$6,$C$7,$C$8,$C$9,$C$10,$C$11,AB18,$C$13)</f>
        <v>9.879270385469523</v>
      </c>
      <c r="AC21" s="20" cm="1">
        <f t="array" ref="AC21">lb_put_price_mc($C$6,$C$7,$C$8,$C$9,$C$10,$C$11,AC18,$C$13)</f>
        <v>10.122039462912749</v>
      </c>
      <c r="AD21" s="20" cm="1">
        <f t="array" ref="AD21">lb_put_price_mc($C$6,$C$7,$C$8,$C$9,$C$10,$C$11,AD18,$C$13)</f>
        <v>9.6550163970512717</v>
      </c>
      <c r="AE21" s="20" cm="1">
        <f t="array" ref="AE21">lb_put_price_mc($C$6,$C$7,$C$8,$C$9,$C$10,$C$11,AE18,$C$13)</f>
        <v>10.084705922950247</v>
      </c>
      <c r="AF21" s="20" cm="1">
        <f t="array" ref="AF21">lb_put_price_mc($C$6,$C$7,$C$8,$C$9,$C$10,$C$11,AF18,$C$13)</f>
        <v>10.064056401030063</v>
      </c>
      <c r="AG21" s="20" cm="1">
        <f t="array" ref="AG21">lb_put_price_mc($C$6,$C$7,$C$8,$C$9,$C$10,$C$11,AG18,$C$13)</f>
        <v>9.8596614802910985</v>
      </c>
      <c r="AH21" s="20" cm="1">
        <f t="array" ref="AH21">lb_put_price_mc($C$6,$C$7,$C$8,$C$9,$C$10,$C$11,AH18,$C$13)</f>
        <v>10.046591585243956</v>
      </c>
      <c r="AI21" s="20" cm="1">
        <f t="array" ref="AI21">lb_put_price_mc($C$6,$C$7,$C$8,$C$9,$C$10,$C$11,AI18,$C$13)</f>
        <v>10.00948830423278</v>
      </c>
      <c r="AJ21" s="20" cm="1">
        <f t="array" ref="AJ21">lb_put_price_mc($C$6,$C$7,$C$8,$C$9,$C$10,$C$11,AJ18,$C$13)</f>
        <v>9.810836665851145</v>
      </c>
      <c r="AK21" s="20" cm="1">
        <f t="array" ref="AK21">lb_put_price_mc($C$6,$C$7,$C$8,$C$9,$C$10,$C$11,AK18,$C$13)</f>
        <v>9.5368603338004743</v>
      </c>
      <c r="AL21" s="20" cm="1">
        <f t="array" ref="AL21">lb_put_price_mc($C$6,$C$7,$C$8,$C$9,$C$10,$C$11,AL18,$C$13)</f>
        <v>9.0884904491496599</v>
      </c>
      <c r="AM21" s="20" cm="1">
        <f t="array" ref="AM21">lb_put_price_mc($C$6,$C$7,$C$8,$C$9,$C$10,$C$11,AM18,$C$13)</f>
        <v>9.8033672622610712</v>
      </c>
      <c r="AN21" s="20" cm="1">
        <f t="array" ref="AN21">lb_put_price_mc($C$6,$C$7,$C$8,$C$9,$C$10,$C$11,AN18,$C$13)</f>
        <v>10.404729987415751</v>
      </c>
      <c r="AO21" s="20" cm="1">
        <f t="array" ref="AO21">lb_put_price_mc($C$6,$C$7,$C$8,$C$9,$C$10,$C$11,AO18,$C$13)</f>
        <v>9.5711103862935918</v>
      </c>
      <c r="AP21" s="20" cm="1">
        <f t="array" ref="AP21">lb_put_price_mc($C$6,$C$7,$C$8,$C$9,$C$10,$C$11,AP18,$C$13)</f>
        <v>9.8299156119331812</v>
      </c>
      <c r="AQ21" s="20" cm="1">
        <f t="array" ref="AQ21">lb_put_price_mc($C$6,$C$7,$C$8,$C$9,$C$10,$C$11,AQ18,$C$13)</f>
        <v>10.812307232537496</v>
      </c>
      <c r="AR21" s="20" cm="1">
        <f t="array" ref="AR21">lb_put_price_mc($C$6,$C$7,$C$8,$C$9,$C$10,$C$11,AR18,$C$13)</f>
        <v>9.6578462406685261</v>
      </c>
      <c r="AS21" s="20" cm="1">
        <f t="array" ref="AS21">lb_put_price_mc($C$6,$C$7,$C$8,$C$9,$C$10,$C$11,AS18,$C$13)</f>
        <v>10.50554374807586</v>
      </c>
      <c r="AT21" s="20" cm="1">
        <f t="array" ref="AT21">lb_put_price_mc($C$6,$C$7,$C$8,$C$9,$C$10,$C$11,AT18,$C$13)</f>
        <v>10.55988688957555</v>
      </c>
      <c r="AU21" s="20" cm="1">
        <f t="array" ref="AU21">lb_put_price_mc($C$6,$C$7,$C$8,$C$9,$C$10,$C$11,AU18,$C$13)</f>
        <v>10.287362843259411</v>
      </c>
      <c r="AV21" s="20" cm="1">
        <f t="array" ref="AV21">lb_put_price_mc($C$6,$C$7,$C$8,$C$9,$C$10,$C$11,AV18,$C$13)</f>
        <v>10.17931808424931</v>
      </c>
      <c r="AW21" s="20" cm="1">
        <f t="array" ref="AW21">lb_put_price_mc($C$6,$C$7,$C$8,$C$9,$C$10,$C$11,AW18,$C$13)</f>
        <v>10.538448283500383</v>
      </c>
      <c r="AX21" s="20" cm="1">
        <f t="array" ref="AX21">lb_put_price_mc($C$6,$C$7,$C$8,$C$9,$C$10,$C$11,AX18,$C$13)</f>
        <v>10.711902449389342</v>
      </c>
      <c r="AY21" s="20" cm="1">
        <f t="array" ref="AY21">lb_put_price_mc($C$6,$C$7,$C$8,$C$9,$C$10,$C$11,AY18,$C$13)</f>
        <v>11.266998405435528</v>
      </c>
      <c r="AZ21" s="20" cm="1">
        <f t="array" ref="AZ21">lb_put_price_mc($C$6,$C$7,$C$8,$C$9,$C$10,$C$11,AZ18,$C$13)</f>
        <v>10.859241272858005</v>
      </c>
      <c r="BA21" s="20" cm="1">
        <f t="array" ref="BA21">lb_put_price_mc($C$6,$C$7,$C$8,$C$9,$C$10,$C$11,BA18,$C$13)</f>
        <v>11.426395511442395</v>
      </c>
      <c r="BB21" s="20" cm="1">
        <f t="array" ref="BB21">lb_put_price_mc($C$6,$C$7,$C$8,$C$9,$C$10,$C$11,BB18,$C$13)</f>
        <v>10.857098321048612</v>
      </c>
      <c r="BC21" s="20" cm="1">
        <f t="array" ref="BC21">lb_put_price_mc($C$6,$C$7,$C$8,$C$9,$C$10,$C$11,BC18,$C$13)</f>
        <v>11.244887996430529</v>
      </c>
      <c r="BD21" s="20" cm="1">
        <f t="array" ref="BD21">lb_put_price_mc($C$6,$C$7,$C$8,$C$9,$C$10,$C$11,BD18,$C$13)</f>
        <v>11.199386762574289</v>
      </c>
      <c r="BE21" s="20" cm="1">
        <f t="array" ref="BE21">lb_put_price_mc($C$6,$C$7,$C$8,$C$9,$C$10,$C$11,BE18,$C$13)</f>
        <v>10.89932269949006</v>
      </c>
      <c r="BF21" s="20" cm="1">
        <f t="array" ref="BF21">lb_put_price_mc($C$6,$C$7,$C$8,$C$9,$C$10,$C$11,BF18,$C$13)</f>
        <v>11.747533649654921</v>
      </c>
      <c r="BG21" s="20" cm="1">
        <f t="array" ref="BG21">lb_put_price_mc($C$6,$C$7,$C$8,$C$9,$C$10,$C$11,BG18,$C$13)</f>
        <v>11.551039249699807</v>
      </c>
      <c r="BH21" s="20" cm="1">
        <f t="array" ref="BH21">lb_put_price_mc($C$6,$C$7,$C$8,$C$9,$C$10,$C$11,BH18,$C$13)</f>
        <v>12.048499756583235</v>
      </c>
      <c r="BI21" s="20" cm="1">
        <f t="array" ref="BI21">lb_put_price_mc($C$6,$C$7,$C$8,$C$9,$C$10,$C$11,BI18,$C$13)</f>
        <v>11.541419259023762</v>
      </c>
      <c r="BJ21" s="20" cm="1">
        <f t="array" ref="BJ21">lb_put_price_mc($C$6,$C$7,$C$8,$C$9,$C$10,$C$11,BJ18,$C$13)</f>
        <v>11.001942862874863</v>
      </c>
      <c r="BK21" s="20" cm="1">
        <f t="array" ref="BK21">lb_put_price_mc($C$6,$C$7,$C$8,$C$9,$C$10,$C$11,BK18,$C$13)</f>
        <v>10.239022501141925</v>
      </c>
      <c r="BL21" s="20" cm="1">
        <f t="array" ref="BL21">lb_put_price_mc($C$6,$C$7,$C$8,$C$9,$C$10,$C$11,BL18,$C$13)</f>
        <v>10.926980819991329</v>
      </c>
      <c r="BM21" s="20" cm="1">
        <f t="array" ref="BM21">lb_put_price_mc($C$6,$C$7,$C$8,$C$9,$C$10,$C$11,BM18,$C$13)</f>
        <v>11.546527883321749</v>
      </c>
      <c r="BN21" s="20" cm="1">
        <f t="array" ref="BN21">lb_put_price_mc($C$6,$C$7,$C$8,$C$9,$C$10,$C$11,BN18,$C$13)</f>
        <v>11.907244698898742</v>
      </c>
      <c r="BO21" s="20" cm="1">
        <f t="array" ref="BO21">lb_put_price_mc($C$6,$C$7,$C$8,$C$9,$C$10,$C$11,BO18,$C$13)</f>
        <v>11.568036316922669</v>
      </c>
      <c r="BP21" s="20" cm="1">
        <f t="array" ref="BP21">lb_put_price_mc($C$6,$C$7,$C$8,$C$9,$C$10,$C$11,BP18,$C$13)</f>
        <v>11.547914526273992</v>
      </c>
      <c r="BQ21" s="20" cm="1">
        <f t="array" ref="BQ21">lb_put_price_mc($C$6,$C$7,$C$8,$C$9,$C$10,$C$11,BQ18,$C$13)</f>
        <v>10.631186018913859</v>
      </c>
      <c r="BR21" s="20" cm="1">
        <f t="array" ref="BR21">lb_put_price_mc($C$6,$C$7,$C$8,$C$9,$C$10,$C$11,BR18,$C$13)</f>
        <v>11.362369028604675</v>
      </c>
      <c r="BS21" s="20" cm="1">
        <f t="array" ref="BS21">lb_put_price_mc($C$6,$C$7,$C$8,$C$9,$C$10,$C$11,BS18,$C$13)</f>
        <v>12.053144394205836</v>
      </c>
      <c r="BT21" s="20" cm="1">
        <f t="array" ref="BT21">lb_put_price_mc($C$6,$C$7,$C$8,$C$9,$C$10,$C$11,BT18,$C$13)</f>
        <v>12.167532482885674</v>
      </c>
      <c r="BU21" s="20" cm="1">
        <f t="array" ref="BU21">lb_put_price_mc($C$6,$C$7,$C$8,$C$9,$C$10,$C$11,BU18,$C$13)</f>
        <v>11.494611955890671</v>
      </c>
      <c r="BV21" s="20" cm="1">
        <f t="array" ref="BV21">lb_put_price_mc($C$6,$C$7,$C$8,$C$9,$C$10,$C$11,BV18,$C$13)</f>
        <v>10.941203696370186</v>
      </c>
      <c r="BW21" s="20" cm="1">
        <f t="array" ref="BW21">lb_put_price_mc($C$6,$C$7,$C$8,$C$9,$C$10,$C$11,BW18,$C$13)</f>
        <v>11.521534422412397</v>
      </c>
      <c r="BX21" s="20" cm="1">
        <f t="array" ref="BX21">lb_put_price_mc($C$6,$C$7,$C$8,$C$9,$C$10,$C$11,BX18,$C$13)</f>
        <v>11.661605540949328</v>
      </c>
      <c r="BY21" s="20" cm="1">
        <f t="array" ref="BY21">lb_put_price_mc($C$6,$C$7,$C$8,$C$9,$C$10,$C$11,BY18,$C$13)</f>
        <v>11.073143584049948</v>
      </c>
      <c r="BZ21" s="20" cm="1">
        <f t="array" ref="BZ21">lb_put_price_mc($C$6,$C$7,$C$8,$C$9,$C$10,$C$11,BZ18,$C$13)</f>
        <v>11.120377284964933</v>
      </c>
      <c r="CA21" s="20" cm="1">
        <f t="array" ref="CA21">lb_put_price_mc($C$6,$C$7,$C$8,$C$9,$C$10,$C$11,CA18,$C$13)</f>
        <v>11.245247885415136</v>
      </c>
      <c r="CB21" s="20" cm="1">
        <f t="array" ref="CB21">lb_put_price_mc($C$6,$C$7,$C$8,$C$9,$C$10,$C$11,CB18,$C$13)</f>
        <v>10.722001033261687</v>
      </c>
      <c r="CC21" s="20" cm="1">
        <f t="array" ref="CC21">lb_put_price_mc($C$6,$C$7,$C$8,$C$9,$C$10,$C$11,CC18,$C$13)</f>
        <v>11.000878429001906</v>
      </c>
      <c r="CD21" s="20" cm="1">
        <f t="array" ref="CD21">lb_put_price_mc($C$6,$C$7,$C$8,$C$9,$C$10,$C$11,CD18,$C$13)</f>
        <v>11.146262778285941</v>
      </c>
      <c r="CE21" s="20" cm="1">
        <f t="array" ref="CE21">lb_put_price_mc($C$6,$C$7,$C$8,$C$9,$C$10,$C$11,CE18,$C$13)</f>
        <v>11.71641257490433</v>
      </c>
      <c r="CF21" s="20" cm="1">
        <f t="array" ref="CF21">lb_put_price_mc($C$6,$C$7,$C$8,$C$9,$C$10,$C$11,CF18,$C$13)</f>
        <v>11.703779457917586</v>
      </c>
      <c r="CG21" s="20" cm="1">
        <f t="array" ref="CG21">lb_put_price_mc($C$6,$C$7,$C$8,$C$9,$C$10,$C$11,CG18,$C$13)</f>
        <v>12.070197346321542</v>
      </c>
      <c r="CH21" s="20" cm="1">
        <f t="array" ref="CH21">lb_put_price_mc($C$6,$C$7,$C$8,$C$9,$C$10,$C$11,CH18,$C$13)</f>
        <v>11.066076831833122</v>
      </c>
      <c r="CI21" s="20" cm="1">
        <f t="array" ref="CI21">lb_put_price_mc($C$6,$C$7,$C$8,$C$9,$C$10,$C$11,CI18,$C$13)</f>
        <v>11.751997644671169</v>
      </c>
      <c r="CJ21" s="20" cm="1">
        <f t="array" ref="CJ21">lb_put_price_mc($C$6,$C$7,$C$8,$C$9,$C$10,$C$11,CJ18,$C$13)</f>
        <v>10.787662556954324</v>
      </c>
      <c r="CK21" s="20" cm="1">
        <f t="array" ref="CK21">lb_put_price_mc($C$6,$C$7,$C$8,$C$9,$C$10,$C$11,CK18,$C$13)</f>
        <v>10.986583624573221</v>
      </c>
      <c r="CL21" s="20" cm="1">
        <f t="array" ref="CL21">lb_put_price_mc($C$6,$C$7,$C$8,$C$9,$C$10,$C$11,CL18,$C$13)</f>
        <v>11.324065017600127</v>
      </c>
      <c r="CM21" s="20" cm="1">
        <f t="array" ref="CM21">lb_put_price_mc($C$6,$C$7,$C$8,$C$9,$C$10,$C$11,CM18,$C$13)</f>
        <v>11.85987666510904</v>
      </c>
      <c r="CN21" s="20" cm="1">
        <f t="array" ref="CN21">lb_put_price_mc($C$6,$C$7,$C$8,$C$9,$C$10,$C$11,CN18,$C$13)</f>
        <v>11.707296335674052</v>
      </c>
      <c r="CO21" s="20" cm="1">
        <f t="array" ref="CO21">lb_put_price_mc($C$6,$C$7,$C$8,$C$9,$C$10,$C$11,CO18,$C$13)</f>
        <v>10.982859651422228</v>
      </c>
      <c r="CP21" s="20" cm="1">
        <f t="array" ref="CP21">lb_put_price_mc($C$6,$C$7,$C$8,$C$9,$C$10,$C$11,CP18,$C$13)</f>
        <v>12.266614213254902</v>
      </c>
      <c r="CQ21" s="20" cm="1">
        <f t="array" ref="CQ21">lb_put_price_mc($C$6,$C$7,$C$8,$C$9,$C$10,$C$11,CQ18,$C$13)</f>
        <v>12.033208426159471</v>
      </c>
      <c r="CR21" s="20" cm="1">
        <f t="array" ref="CR21">lb_put_price_mc($C$6,$C$7,$C$8,$C$9,$C$10,$C$11,CR18,$C$13)</f>
        <v>11.981793548552213</v>
      </c>
      <c r="CS21" s="20" cm="1">
        <f t="array" ref="CS21">lb_put_price_mc($C$6,$C$7,$C$8,$C$9,$C$10,$C$11,CS18,$C$13)</f>
        <v>12.075709464780966</v>
      </c>
      <c r="CT21" s="20" cm="1">
        <f t="array" ref="CT21">lb_put_price_mc($C$6,$C$7,$C$8,$C$9,$C$10,$C$11,CT18,$C$13)</f>
        <v>12.298134726811851</v>
      </c>
      <c r="CU21" s="20" cm="1">
        <f t="array" ref="CU21">lb_put_price_mc($C$6,$C$7,$C$8,$C$9,$C$10,$C$11,CU18,$C$13)</f>
        <v>11.678284711446475</v>
      </c>
      <c r="CV21" s="20" cm="1">
        <f t="array" ref="CV21">lb_put_price_mc($C$6,$C$7,$C$8,$C$9,$C$10,$C$11,CV18,$C$13)</f>
        <v>11.389821855546826</v>
      </c>
      <c r="CW21" s="20" cm="1">
        <f t="array" ref="CW21">lb_put_price_mc($C$6,$C$7,$C$8,$C$9,$C$10,$C$11,CW18,$C$13)</f>
        <v>11.650766642784204</v>
      </c>
      <c r="CX21" s="20" cm="1">
        <f t="array" ref="CX21">lb_put_price_mc($C$6,$C$7,$C$8,$C$9,$C$10,$C$11,CX18,$C$13)</f>
        <v>11.756693551495985</v>
      </c>
      <c r="CY21" s="20" cm="1">
        <f t="array" ref="CY21">lb_put_price_mc($C$6,$C$7,$C$8,$C$9,$C$10,$C$11,CY18,$C$13)</f>
        <v>11.508797098466596</v>
      </c>
      <c r="CZ21" s="20" cm="1">
        <f t="array" ref="CZ21">lb_put_price_mc($C$6,$C$7,$C$8,$C$9,$C$10,$C$11,CZ18,$C$13)</f>
        <v>12.486229315945872</v>
      </c>
      <c r="DA21" s="20" cm="1">
        <f t="array" ref="DA21">lb_put_price_mc($C$6,$C$7,$C$8,$C$9,$C$10,$C$11,DA18,$C$13)</f>
        <v>12.269785973665018</v>
      </c>
      <c r="DB21" s="20" cm="1">
        <f t="array" ref="DB21">lb_put_price_mc($C$6,$C$7,$C$8,$C$9,$C$10,$C$11,DB18,$C$13)</f>
        <v>12.151768164856179</v>
      </c>
      <c r="DC21" s="20" cm="1">
        <f t="array" ref="DC21">lb_put_price_mc($C$6,$C$7,$C$8,$C$9,$C$10,$C$11,DC18,$C$13)</f>
        <v>12.460492251204258</v>
      </c>
      <c r="DD21" s="20" cm="1">
        <f t="array" ref="DD21">lb_put_price_mc($C$6,$C$7,$C$8,$C$9,$C$10,$C$11,DD18,$C$13)</f>
        <v>12.08176282739651</v>
      </c>
      <c r="DE21" s="20" cm="1">
        <f t="array" ref="DE21">lb_put_price_mc($C$6,$C$7,$C$8,$C$9,$C$10,$C$11,DE18,$C$13)</f>
        <v>12.307341717861252</v>
      </c>
      <c r="DF21" s="20" cm="1">
        <f t="array" ref="DF21">lb_put_price_mc($C$6,$C$7,$C$8,$C$9,$C$10,$C$11,DF18,$C$13)</f>
        <v>10.799113911677303</v>
      </c>
      <c r="DG21" s="20" cm="1">
        <f t="array" ref="DG21">lb_put_price_mc($C$6,$C$7,$C$8,$C$9,$C$10,$C$11,DG18,$C$13)</f>
        <v>11.420553907591755</v>
      </c>
      <c r="DH21" s="20" cm="1">
        <f t="array" ref="DH21">lb_put_price_mc($C$6,$C$7,$C$8,$C$9,$C$10,$C$11,DH18,$C$13)</f>
        <v>10.783318920685666</v>
      </c>
      <c r="DI21" s="20" cm="1">
        <f t="array" ref="DI21">lb_put_price_mc($C$6,$C$7,$C$8,$C$9,$C$10,$C$11,DI18,$C$13)</f>
        <v>11.548411533875855</v>
      </c>
      <c r="DJ21" s="20" cm="1">
        <f t="array" ref="DJ21">lb_put_price_mc($C$6,$C$7,$C$8,$C$9,$C$10,$C$11,DJ18,$C$13)</f>
        <v>11.682737522767656</v>
      </c>
      <c r="DL21" cm="1">
        <f t="array" ref="DL21">lb_put_price_bb_asymptotic(C6,C7,C8,C9,C10)</f>
        <v>14.264527278845131</v>
      </c>
      <c r="DM21">
        <f>DL21</f>
        <v>14.264527278845131</v>
      </c>
    </row>
    <row r="22" spans="1:117" ht="20.55" customHeight="1" thickTop="1" thickBot="1" x14ac:dyDescent="0.5">
      <c r="A22" s="13" t="s">
        <v>20</v>
      </c>
      <c r="B22" s="15" t="s">
        <v>31</v>
      </c>
      <c r="C22" s="12" cm="1">
        <f t="array" ref="C22">_xlfn.SWITCH(
  $B$3,
  "Lookback Call",    lb_call_theta_mc($C$6,$C$7,$C$8,$C$9,$C$10,$C$11,$C$12,$C$13),
  "Lookback Put",     lb_put_theta_mc($C$6,$C$7,$C$8,$C$9,$C$10,$C$11,$C$12,$C$13))</f>
        <v>-5.0773717518220556</v>
      </c>
      <c r="D22" s="17" cm="1">
        <f t="array" ref="D22">_xlfn.SWITCH(
  $B$3,
  "Lookback Call",    lb_call_theta_mc_se($C$6,$C$7,$C$8,$C$9,$C$10,$C$11,$C$12,$C$13),
  "Lookback Put",     lb_put_theta_mc_se($C$6,$C$7,$C$8,$C$9,$C$10,$C$11,$C$12,$C$13))</f>
        <v>0.41704135098774825</v>
      </c>
      <c r="E22" s="17" cm="1">
        <f t="array" ref="E22">_xlfn.SWITCH(
  $B$3,
  "Lookback Call",    lb_call_theta_mc_ci_low($C$6,$C$7,$C$8,$C$9,$C$10,$C$11,$C$12,$C$13),
  "Lookback Put",     lb_put_theta_mc_ci_low($C$6,$C$7,$C$8,$C$9,$C$10,$C$11,$C$12,$C$13))</f>
        <v>-5.8947727997580426</v>
      </c>
      <c r="F22" s="17" cm="1">
        <f t="array" ref="F22">_xlfn.SWITCH(
  $B$3,
  "Lookback Call",    lb_call_theta_mc_ci_high($C$6,$C$7,$C$8,$C$9,$C$10,$C$11,$C$12,$C$13),
  "Lookback Put",     lb_put_theta_mc_ci_high($C$6,$C$7,$C$8,$C$9,$C$10,$C$11,$C$12,$C$13))</f>
        <v>-4.2599707038860686</v>
      </c>
      <c r="G22" s="12" cm="1">
        <f t="array" ref="G22">_xlfn.SWITCH(
  $B$3,
  "Lookback Call",    lb_call_theta_mc_vr($C$6,$C$7,$C$8,$C$9,$C$10,$C$11,$C$12,$C$13),
  "Lookback Put",     lb_put_theta_mc_vr($C$6,$C$7,$C$8,$C$9,$C$10,$C$11,$C$12,$C$13))</f>
        <v>-5.3905721982720376</v>
      </c>
      <c r="H22" s="17" cm="1">
        <f t="array" ref="H22">_xlfn.SWITCH(
  $B$3,
  "Lookback Call",    lb_call_theta_mc_vr_se($C$6,$C$7,$C$8,$C$9,$C$10,$C$11,$C$12,$C$13),
  "Lookback Put",     lb_put_theta_mc_vr_se($C$6,$C$7,$C$8,$C$9,$C$10,$C$11,$C$12,$C$13))</f>
        <v>0.28195809365533431</v>
      </c>
      <c r="I22" s="17" cm="1">
        <f t="array" ref="I22">_xlfn.SWITCH(
  $B$3,
  "Lookback Call",    lb_call_theta_mc_vr_ci_low($C$6,$C$7,$C$8,$C$9,$C$10,$C$11,$C$12,$C$13),
  "Lookback Put",     lb_put_theta_mc_vr_ci_low($C$6,$C$7,$C$8,$C$9,$C$10,$C$11,$C$12,$C$13))</f>
        <v>-5.9432100618364929</v>
      </c>
      <c r="J22" s="17" cm="1">
        <f t="array" ref="J22">_xlfn.SWITCH(
  $B$3,
  "Lookback Call",    lb_call_theta_mc_vr_ci_high($C$6,$C$7,$C$8,$C$9,$C$10,$C$11,$C$12,$C$13),
  "Lookback Put",     lb_put_theta_mc_vr_ci_high($C$6,$C$7,$C$8,$C$9,$C$10,$C$11,$C$12,$C$13))</f>
        <v>-4.8379343347075823</v>
      </c>
      <c r="N22" s="20" t="s">
        <v>45</v>
      </c>
      <c r="O22" s="20" cm="1">
        <f t="array" ref="O22">lb_put_price_mc_vr($C$6,$C$7,$C$8,$C$9,$C$10,$C$11,O18,$C$13)</f>
        <v>7.297092001508287</v>
      </c>
      <c r="P22" s="20" cm="1">
        <f t="array" ref="P22">lb_put_price_mc_vr($C$6,$C$7,$C$8,$C$9,$C$10,$C$11,P18,$C$13)</f>
        <v>8.8541923630655504</v>
      </c>
      <c r="Q22" s="20" cm="1">
        <f t="array" ref="Q22">lb_put_price_mc_vr($C$6,$C$7,$C$8,$C$9,$C$10,$C$11,Q18,$C$13)</f>
        <v>9.7631596819562638</v>
      </c>
      <c r="R22" s="20" cm="1">
        <f t="array" ref="R22">lb_put_price_mc_vr($C$6,$C$7,$C$8,$C$9,$C$10,$C$11,R18,$C$13)</f>
        <v>10.136683360644231</v>
      </c>
      <c r="S22" s="20" cm="1">
        <f t="array" ref="S22">lb_put_price_mc_vr($C$6,$C$7,$C$8,$C$9,$C$10,$C$11,S18,$C$13)</f>
        <v>9.7862271394833105</v>
      </c>
      <c r="T22" s="20" cm="1">
        <f t="array" ref="T22">lb_put_price_mc_vr($C$6,$C$7,$C$8,$C$9,$C$10,$C$11,T18,$C$13)</f>
        <v>10.127201441438183</v>
      </c>
      <c r="U22" s="20" cm="1">
        <f t="array" ref="U22">lb_put_price_mc_vr($C$6,$C$7,$C$8,$C$9,$C$10,$C$11,U18,$C$13)</f>
        <v>10.157789648732971</v>
      </c>
      <c r="V22" s="20" cm="1">
        <f t="array" ref="V22">lb_put_price_mc_vr($C$6,$C$7,$C$8,$C$9,$C$10,$C$11,V18,$C$13)</f>
        <v>10.617678474988754</v>
      </c>
      <c r="W22" s="20" cm="1">
        <f t="array" ref="W22">lb_put_price_mc_vr($C$6,$C$7,$C$8,$C$9,$C$10,$C$11,W18,$C$13)</f>
        <v>10.98146709353894</v>
      </c>
      <c r="X22" s="20" cm="1">
        <f t="array" ref="X22">lb_put_price_mc_vr($C$6,$C$7,$C$8,$C$9,$C$10,$C$11,X18,$C$13)</f>
        <v>10.468195575562946</v>
      </c>
      <c r="Y22" s="20" cm="1">
        <f t="array" ref="Y22">lb_put_price_mc_vr($C$6,$C$7,$C$8,$C$9,$C$10,$C$11,Y18,$C$13)</f>
        <v>11.419169370496556</v>
      </c>
      <c r="Z22" s="20" cm="1">
        <f t="array" ref="Z22">lb_put_price_mc_vr($C$6,$C$7,$C$8,$C$9,$C$10,$C$11,Z18,$C$13)</f>
        <v>10.968031073562535</v>
      </c>
      <c r="AA22" s="20" cm="1">
        <f t="array" ref="AA22">lb_put_price_mc_vr($C$6,$C$7,$C$8,$C$9,$C$10,$C$11,AA18,$C$13)</f>
        <v>11.069600308187843</v>
      </c>
      <c r="AB22" s="20" cm="1">
        <f t="array" ref="AB22">lb_put_price_mc_vr($C$6,$C$7,$C$8,$C$9,$C$10,$C$11,AB18,$C$13)</f>
        <v>11.327823714523316</v>
      </c>
      <c r="AC22" s="20" cm="1">
        <f t="array" ref="AC22">lb_put_price_mc_vr($C$6,$C$7,$C$8,$C$9,$C$10,$C$11,AC18,$C$13)</f>
        <v>11.151384718644307</v>
      </c>
      <c r="AD22" s="20" cm="1">
        <f t="array" ref="AD22">lb_put_price_mc_vr($C$6,$C$7,$C$8,$C$9,$C$10,$C$11,AD18,$C$13)</f>
        <v>11.923989154878843</v>
      </c>
      <c r="AE22" s="20" cm="1">
        <f t="array" ref="AE22">lb_put_price_mc_vr($C$6,$C$7,$C$8,$C$9,$C$10,$C$11,AE18,$C$13)</f>
        <v>11.60585265028851</v>
      </c>
      <c r="AF22" s="20" cm="1">
        <f t="array" ref="AF22">lb_put_price_mc_vr($C$6,$C$7,$C$8,$C$9,$C$10,$C$11,AF18,$C$13)</f>
        <v>11.079593926391864</v>
      </c>
      <c r="AG22" s="20" cm="1">
        <f t="array" ref="AG22">lb_put_price_mc_vr($C$6,$C$7,$C$8,$C$9,$C$10,$C$11,AG18,$C$13)</f>
        <v>11.158230197531296</v>
      </c>
      <c r="AH22" s="20" cm="1">
        <f t="array" ref="AH22">lb_put_price_mc_vr($C$6,$C$7,$C$8,$C$9,$C$10,$C$11,AH18,$C$13)</f>
        <v>11.282715426319607</v>
      </c>
      <c r="AI22" s="20" cm="1">
        <f t="array" ref="AI22">lb_put_price_mc_vr($C$6,$C$7,$C$8,$C$9,$C$10,$C$11,AI18,$C$13)</f>
        <v>11.228203314780894</v>
      </c>
      <c r="AJ22" s="20" cm="1">
        <f t="array" ref="AJ22">lb_put_price_mc_vr($C$6,$C$7,$C$8,$C$9,$C$10,$C$11,AJ18,$C$13)</f>
        <v>11.746706324021481</v>
      </c>
      <c r="AK22" s="20" cm="1">
        <f t="array" ref="AK22">lb_put_price_mc_vr($C$6,$C$7,$C$8,$C$9,$C$10,$C$11,AK18,$C$13)</f>
        <v>11.622255842642044</v>
      </c>
      <c r="AL22" s="20" cm="1">
        <f t="array" ref="AL22">lb_put_price_mc_vr($C$6,$C$7,$C$8,$C$9,$C$10,$C$11,AL18,$C$13)</f>
        <v>11.275007893547407</v>
      </c>
      <c r="AM22" s="20" cm="1">
        <f t="array" ref="AM22">lb_put_price_mc_vr($C$6,$C$7,$C$8,$C$9,$C$10,$C$11,AM18,$C$13)</f>
        <v>11.320925392409764</v>
      </c>
      <c r="AN22" s="20" cm="1">
        <f t="array" ref="AN22">lb_put_price_mc_vr($C$6,$C$7,$C$8,$C$9,$C$10,$C$11,AN18,$C$13)</f>
        <v>11.225212650053111</v>
      </c>
      <c r="AO22" s="20" cm="1">
        <f t="array" ref="AO22">lb_put_price_mc_vr($C$6,$C$7,$C$8,$C$9,$C$10,$C$11,AO18,$C$13)</f>
        <v>10.943965870345792</v>
      </c>
      <c r="AP22" s="20" cm="1">
        <f t="array" ref="AP22">lb_put_price_mc_vr($C$6,$C$7,$C$8,$C$9,$C$10,$C$11,AP18,$C$13)</f>
        <v>11.036120274187876</v>
      </c>
      <c r="AQ22" s="20" cm="1">
        <f t="array" ref="AQ22">lb_put_price_mc_vr($C$6,$C$7,$C$8,$C$9,$C$10,$C$11,AQ18,$C$13)</f>
        <v>11.211705106943127</v>
      </c>
      <c r="AR22" s="20" cm="1">
        <f t="array" ref="AR22">lb_put_price_mc_vr($C$6,$C$7,$C$8,$C$9,$C$10,$C$11,AR18,$C$13)</f>
        <v>11.647736838357504</v>
      </c>
      <c r="AS22" s="20" cm="1">
        <f t="array" ref="AS22">lb_put_price_mc_vr($C$6,$C$7,$C$8,$C$9,$C$10,$C$11,AS18,$C$13)</f>
        <v>11.8517729725917</v>
      </c>
      <c r="AT22" s="20" cm="1">
        <f t="array" ref="AT22">lb_put_price_mc_vr($C$6,$C$7,$C$8,$C$9,$C$10,$C$11,AT18,$C$13)</f>
        <v>11.917509295831298</v>
      </c>
      <c r="AU22" s="20" cm="1">
        <f t="array" ref="AU22">lb_put_price_mc_vr($C$6,$C$7,$C$8,$C$9,$C$10,$C$11,AU18,$C$13)</f>
        <v>12.318003627496797</v>
      </c>
      <c r="AV22" s="20" cm="1">
        <f t="array" ref="AV22">lb_put_price_mc_vr($C$6,$C$7,$C$8,$C$9,$C$10,$C$11,AV18,$C$13)</f>
        <v>12.19501794142991</v>
      </c>
      <c r="AW22" s="20" cm="1">
        <f t="array" ref="AW22">lb_put_price_mc_vr($C$6,$C$7,$C$8,$C$9,$C$10,$C$11,AW18,$C$13)</f>
        <v>11.97427928675314</v>
      </c>
      <c r="AX22" s="20" cm="1">
        <f t="array" ref="AX22">lb_put_price_mc_vr($C$6,$C$7,$C$8,$C$9,$C$10,$C$11,AX18,$C$13)</f>
        <v>11.891389963822146</v>
      </c>
      <c r="AY22" s="20" cm="1">
        <f t="array" ref="AY22">lb_put_price_mc_vr($C$6,$C$7,$C$8,$C$9,$C$10,$C$11,AY18,$C$13)</f>
        <v>11.722237238341451</v>
      </c>
      <c r="AZ22" s="20" cm="1">
        <f t="array" ref="AZ22">lb_put_price_mc_vr($C$6,$C$7,$C$8,$C$9,$C$10,$C$11,AZ18,$C$13)</f>
        <v>11.980609909971994</v>
      </c>
      <c r="BA22" s="20" cm="1">
        <f t="array" ref="BA22">lb_put_price_mc_vr($C$6,$C$7,$C$8,$C$9,$C$10,$C$11,BA18,$C$13)</f>
        <v>11.845516620479074</v>
      </c>
      <c r="BB22" s="20" cm="1">
        <f t="array" ref="BB22">lb_put_price_mc_vr($C$6,$C$7,$C$8,$C$9,$C$10,$C$11,BB18,$C$13)</f>
        <v>12.436132951870267</v>
      </c>
      <c r="BC22" s="20" cm="1">
        <f t="array" ref="BC22">lb_put_price_mc_vr($C$6,$C$7,$C$8,$C$9,$C$10,$C$11,BC18,$C$13)</f>
        <v>12.667442752932228</v>
      </c>
      <c r="BD22" s="20" cm="1">
        <f t="array" ref="BD22">lb_put_price_mc_vr($C$6,$C$7,$C$8,$C$9,$C$10,$C$11,BD18,$C$13)</f>
        <v>12.711124662082581</v>
      </c>
      <c r="BE22" s="20" cm="1">
        <f t="array" ref="BE22">lb_put_price_mc_vr($C$6,$C$7,$C$8,$C$9,$C$10,$C$11,BE18,$C$13)</f>
        <v>12.750427172715893</v>
      </c>
      <c r="BF22" s="20" cm="1">
        <f t="array" ref="BF22">lb_put_price_mc_vr($C$6,$C$7,$C$8,$C$9,$C$10,$C$11,BF18,$C$13)</f>
        <v>12.94271171066762</v>
      </c>
      <c r="BG22" s="20" cm="1">
        <f t="array" ref="BG22">lb_put_price_mc_vr($C$6,$C$7,$C$8,$C$9,$C$10,$C$11,BG18,$C$13)</f>
        <v>12.723680093568378</v>
      </c>
      <c r="BH22" s="20" cm="1">
        <f t="array" ref="BH22">lb_put_price_mc_vr($C$6,$C$7,$C$8,$C$9,$C$10,$C$11,BH18,$C$13)</f>
        <v>12.615024237546258</v>
      </c>
      <c r="BI22" s="20" cm="1">
        <f t="array" ref="BI22">lb_put_price_mc_vr($C$6,$C$7,$C$8,$C$9,$C$10,$C$11,BI18,$C$13)</f>
        <v>12.909764415636936</v>
      </c>
      <c r="BJ22" s="20" cm="1">
        <f t="array" ref="BJ22">lb_put_price_mc_vr($C$6,$C$7,$C$8,$C$9,$C$10,$C$11,BJ18,$C$13)</f>
        <v>12.200650212428119</v>
      </c>
      <c r="BK22" s="20" cm="1">
        <f t="array" ref="BK22">lb_put_price_mc_vr($C$6,$C$7,$C$8,$C$9,$C$10,$C$11,BK18,$C$13)</f>
        <v>12.755939277920632</v>
      </c>
      <c r="BL22" s="20" cm="1">
        <f t="array" ref="BL22">lb_put_price_mc_vr($C$6,$C$7,$C$8,$C$9,$C$10,$C$11,BL18,$C$13)</f>
        <v>12.913804565389091</v>
      </c>
      <c r="BM22" s="20" cm="1">
        <f t="array" ref="BM22">lb_put_price_mc_vr($C$6,$C$7,$C$8,$C$9,$C$10,$C$11,BM18,$C$13)</f>
        <v>12.474108666585581</v>
      </c>
      <c r="BN22" s="20" cm="1">
        <f t="array" ref="BN22">lb_put_price_mc_vr($C$6,$C$7,$C$8,$C$9,$C$10,$C$11,BN18,$C$13)</f>
        <v>13.176541439895278</v>
      </c>
      <c r="BO22" s="20" cm="1">
        <f t="array" ref="BO22">lb_put_price_mc_vr($C$6,$C$7,$C$8,$C$9,$C$10,$C$11,BO18,$C$13)</f>
        <v>12.740843838721926</v>
      </c>
      <c r="BP22" s="20" cm="1">
        <f t="array" ref="BP22">lb_put_price_mc_vr($C$6,$C$7,$C$8,$C$9,$C$10,$C$11,BP18,$C$13)</f>
        <v>13.273696411289015</v>
      </c>
      <c r="BQ22" s="20" cm="1">
        <f t="array" ref="BQ22">lb_put_price_mc_vr($C$6,$C$7,$C$8,$C$9,$C$10,$C$11,BQ18,$C$13)</f>
        <v>12.804601963366826</v>
      </c>
      <c r="BR22" s="20" cm="1">
        <f t="array" ref="BR22">lb_put_price_mc_vr($C$6,$C$7,$C$8,$C$9,$C$10,$C$11,BR18,$C$13)</f>
        <v>12.171037580548033</v>
      </c>
      <c r="BS22" s="20" cm="1">
        <f t="array" ref="BS22">lb_put_price_mc_vr($C$6,$C$7,$C$8,$C$9,$C$10,$C$11,BS18,$C$13)</f>
        <v>12.894410153609078</v>
      </c>
      <c r="BT22" s="20" cm="1">
        <f t="array" ref="BT22">lb_put_price_mc_vr($C$6,$C$7,$C$8,$C$9,$C$10,$C$11,BT18,$C$13)</f>
        <v>12.442450927508567</v>
      </c>
      <c r="BU22" s="20" cm="1">
        <f t="array" ref="BU22">lb_put_price_mc_vr($C$6,$C$7,$C$8,$C$9,$C$10,$C$11,BU18,$C$13)</f>
        <v>12.764237398238894</v>
      </c>
      <c r="BV22" s="20" cm="1">
        <f t="array" ref="BV22">lb_put_price_mc_vr($C$6,$C$7,$C$8,$C$9,$C$10,$C$11,BV18,$C$13)</f>
        <v>12.918731525887699</v>
      </c>
      <c r="BW22" s="20" cm="1">
        <f t="array" ref="BW22">lb_put_price_mc_vr($C$6,$C$7,$C$8,$C$9,$C$10,$C$11,BW18,$C$13)</f>
        <v>12.350141094648924</v>
      </c>
      <c r="BX22" s="20" cm="1">
        <f t="array" ref="BX22">lb_put_price_mc_vr($C$6,$C$7,$C$8,$C$9,$C$10,$C$11,BX18,$C$13)</f>
        <v>13.349520940926515</v>
      </c>
      <c r="BY22" s="20" cm="1">
        <f t="array" ref="BY22">lb_put_price_mc_vr($C$6,$C$7,$C$8,$C$9,$C$10,$C$11,BY18,$C$13)</f>
        <v>12.314995454136421</v>
      </c>
      <c r="BZ22" s="20" cm="1">
        <f t="array" ref="BZ22">lb_put_price_mc_vr($C$6,$C$7,$C$8,$C$9,$C$10,$C$11,BZ18,$C$13)</f>
        <v>13.230020073998091</v>
      </c>
      <c r="CA22" s="20" cm="1">
        <f t="array" ref="CA22">lb_put_price_mc_vr($C$6,$C$7,$C$8,$C$9,$C$10,$C$11,CA18,$C$13)</f>
        <v>12.762728683037956</v>
      </c>
      <c r="CB22" s="20" cm="1">
        <f t="array" ref="CB22">lb_put_price_mc_vr($C$6,$C$7,$C$8,$C$9,$C$10,$C$11,CB18,$C$13)</f>
        <v>12.719920076154171</v>
      </c>
      <c r="CC22" s="20" cm="1">
        <f t="array" ref="CC22">lb_put_price_mc_vr($C$6,$C$7,$C$8,$C$9,$C$10,$C$11,CC18,$C$13)</f>
        <v>13.19846511115478</v>
      </c>
      <c r="CD22" s="20" cm="1">
        <f t="array" ref="CD22">lb_put_price_mc_vr($C$6,$C$7,$C$8,$C$9,$C$10,$C$11,CD18,$C$13)</f>
        <v>12.830766604587282</v>
      </c>
      <c r="CE22" s="20" cm="1">
        <f t="array" ref="CE22">lb_put_price_mc_vr($C$6,$C$7,$C$8,$C$9,$C$10,$C$11,CE18,$C$13)</f>
        <v>12.942447628670807</v>
      </c>
      <c r="CF22" s="20" cm="1">
        <f t="array" ref="CF22">lb_put_price_mc_vr($C$6,$C$7,$C$8,$C$9,$C$10,$C$11,CF18,$C$13)</f>
        <v>13.156319459777983</v>
      </c>
      <c r="CG22" s="20" cm="1">
        <f t="array" ref="CG22">lb_put_price_mc_vr($C$6,$C$7,$C$8,$C$9,$C$10,$C$11,CG18,$C$13)</f>
        <v>12.839371679191167</v>
      </c>
      <c r="CH22" s="20" cm="1">
        <f t="array" ref="CH22">lb_put_price_mc_vr($C$6,$C$7,$C$8,$C$9,$C$10,$C$11,CH18,$C$13)</f>
        <v>13.027894952100398</v>
      </c>
      <c r="CI22" s="20" cm="1">
        <f t="array" ref="CI22">lb_put_price_mc_vr($C$6,$C$7,$C$8,$C$9,$C$10,$C$11,CI18,$C$13)</f>
        <v>13.185764371434486</v>
      </c>
      <c r="CJ22" s="20" cm="1">
        <f t="array" ref="CJ22">lb_put_price_mc_vr($C$6,$C$7,$C$8,$C$9,$C$10,$C$11,CJ18,$C$13)</f>
        <v>12.481785090404276</v>
      </c>
      <c r="CK22" s="20" cm="1">
        <f t="array" ref="CK22">lb_put_price_mc_vr($C$6,$C$7,$C$8,$C$9,$C$10,$C$11,CK18,$C$13)</f>
        <v>12.964975294927852</v>
      </c>
      <c r="CL22" s="20" cm="1">
        <f t="array" ref="CL22">lb_put_price_mc_vr($C$6,$C$7,$C$8,$C$9,$C$10,$C$11,CL18,$C$13)</f>
        <v>12.667083936116803</v>
      </c>
      <c r="CM22" s="20" cm="1">
        <f t="array" ref="CM22">lb_put_price_mc_vr($C$6,$C$7,$C$8,$C$9,$C$10,$C$11,CM18,$C$13)</f>
        <v>13.021342903701163</v>
      </c>
      <c r="CN22" s="20" cm="1">
        <f t="array" ref="CN22">lb_put_price_mc_vr($C$6,$C$7,$C$8,$C$9,$C$10,$C$11,CN18,$C$13)</f>
        <v>12.56141189315832</v>
      </c>
      <c r="CO22" s="20" cm="1">
        <f t="array" ref="CO22">lb_put_price_mc_vr($C$6,$C$7,$C$8,$C$9,$C$10,$C$11,CO18,$C$13)</f>
        <v>13.039955006036736</v>
      </c>
      <c r="CP22" s="20" cm="1">
        <f t="array" ref="CP22">lb_put_price_mc_vr($C$6,$C$7,$C$8,$C$9,$C$10,$C$11,CP18,$C$13)</f>
        <v>12.990877344129517</v>
      </c>
      <c r="CQ22" s="20" cm="1">
        <f t="array" ref="CQ22">lb_put_price_mc_vr($C$6,$C$7,$C$8,$C$9,$C$10,$C$11,CQ18,$C$13)</f>
        <v>13.44441754120362</v>
      </c>
      <c r="CR22" s="20" cm="1">
        <f t="array" ref="CR22">lb_put_price_mc_vr($C$6,$C$7,$C$8,$C$9,$C$10,$C$11,CR18,$C$13)</f>
        <v>12.58992811697537</v>
      </c>
      <c r="CS22" s="20" cm="1">
        <f t="array" ref="CS22">lb_put_price_mc_vr($C$6,$C$7,$C$8,$C$9,$C$10,$C$11,CS18,$C$13)</f>
        <v>13.605313666263038</v>
      </c>
      <c r="CT22" s="20" cm="1">
        <f t="array" ref="CT22">lb_put_price_mc_vr($C$6,$C$7,$C$8,$C$9,$C$10,$C$11,CT18,$C$13)</f>
        <v>12.953414540247397</v>
      </c>
      <c r="CU22" s="20" cm="1">
        <f t="array" ref="CU22">lb_put_price_mc_vr($C$6,$C$7,$C$8,$C$9,$C$10,$C$11,CU18,$C$13)</f>
        <v>13.040494746031388</v>
      </c>
      <c r="CV22" s="20" cm="1">
        <f t="array" ref="CV22">lb_put_price_mc_vr($C$6,$C$7,$C$8,$C$9,$C$10,$C$11,CV18,$C$13)</f>
        <v>13.072399518492247</v>
      </c>
      <c r="CW22" s="20" cm="1">
        <f t="array" ref="CW22">lb_put_price_mc_vr($C$6,$C$7,$C$8,$C$9,$C$10,$C$11,CW18,$C$13)</f>
        <v>12.934079514120507</v>
      </c>
      <c r="CX22" s="20" cm="1">
        <f t="array" ref="CX22">lb_put_price_mc_vr($C$6,$C$7,$C$8,$C$9,$C$10,$C$11,CX18,$C$13)</f>
        <v>13.226851720068295</v>
      </c>
      <c r="CY22" s="20" cm="1">
        <f t="array" ref="CY22">lb_put_price_mc_vr($C$6,$C$7,$C$8,$C$9,$C$10,$C$11,CY18,$C$13)</f>
        <v>13.339055204936791</v>
      </c>
      <c r="CZ22" s="20" cm="1">
        <f t="array" ref="CZ22">lb_put_price_mc_vr($C$6,$C$7,$C$8,$C$9,$C$10,$C$11,CZ18,$C$13)</f>
        <v>13.504148980767383</v>
      </c>
      <c r="DA22" s="20" cm="1">
        <f t="array" ref="DA22">lb_put_price_mc_vr($C$6,$C$7,$C$8,$C$9,$C$10,$C$11,DA18,$C$13)</f>
        <v>12.836655343234151</v>
      </c>
      <c r="DB22" s="20" cm="1">
        <f t="array" ref="DB22">lb_put_price_mc_vr($C$6,$C$7,$C$8,$C$9,$C$10,$C$11,DB18,$C$13)</f>
        <v>13.320351328095178</v>
      </c>
      <c r="DC22" s="20" cm="1">
        <f t="array" ref="DC22">lb_put_price_mc_vr($C$6,$C$7,$C$8,$C$9,$C$10,$C$11,DC18,$C$13)</f>
        <v>13.24380211242206</v>
      </c>
      <c r="DD22" s="20" cm="1">
        <f t="array" ref="DD22">lb_put_price_mc_vr($C$6,$C$7,$C$8,$C$9,$C$10,$C$11,DD18,$C$13)</f>
        <v>13.34721438784741</v>
      </c>
      <c r="DE22" s="20" cm="1">
        <f t="array" ref="DE22">lb_put_price_mc_vr($C$6,$C$7,$C$8,$C$9,$C$10,$C$11,DE18,$C$13)</f>
        <v>12.969145576482827</v>
      </c>
      <c r="DF22" s="20" cm="1">
        <f t="array" ref="DF22">lb_put_price_mc_vr($C$6,$C$7,$C$8,$C$9,$C$10,$C$11,DF18,$C$13)</f>
        <v>12.132340397736755</v>
      </c>
      <c r="DG22" s="20" cm="1">
        <f t="array" ref="DG22">lb_put_price_mc_vr($C$6,$C$7,$C$8,$C$9,$C$10,$C$11,DG18,$C$13)</f>
        <v>12.848617912572537</v>
      </c>
      <c r="DH22" s="20" cm="1">
        <f t="array" ref="DH22">lb_put_price_mc_vr($C$6,$C$7,$C$8,$C$9,$C$10,$C$11,DH18,$C$13)</f>
        <v>12.478118339473026</v>
      </c>
      <c r="DI22" s="20" cm="1">
        <f t="array" ref="DI22">lb_put_price_mc_vr($C$6,$C$7,$C$8,$C$9,$C$10,$C$11,DI18,$C$13)</f>
        <v>12.986245908721457</v>
      </c>
      <c r="DJ22" s="20" cm="1">
        <f t="array" ref="DJ22">lb_put_price_mc_vr($C$6,$C$7,$C$8,$C$9,$C$10,$C$11,DJ18,$C$13)</f>
        <v>12.936786938188554</v>
      </c>
    </row>
    <row r="23" spans="1:117" ht="20.55" customHeight="1" thickTop="1" thickBot="1" x14ac:dyDescent="0.5">
      <c r="A23" s="13" t="s">
        <v>21</v>
      </c>
      <c r="B23" s="15" t="s">
        <v>32</v>
      </c>
      <c r="C23" s="12" cm="1">
        <f t="array" ref="C23">_xlfn.SWITCH(
  $B$3,
  "Lookback Call",    lb_call_rho_mc($C$6,$C$7,$C$8,$C$9,$C$10,$C$11,$C$12,$C$13),
  "Lookback Put",     lb_put_rho_mc($C$6,$C$7,$C$8,$C$9,$C$10,$C$11,$C$12,$C$13))</f>
        <v>-43.452412554685182</v>
      </c>
      <c r="D23" s="17" cm="1">
        <f t="array" ref="D23">_xlfn.SWITCH(
  $B$3,
  "Lookback Call",    lb_call_rho_mc_se($C$6,$C$7,$C$8,$C$9,$C$10,$C$11,$C$12,$C$13),
  "Lookback Put",     lb_put_rho_mc_se($C$6,$C$7,$C$8,$C$9,$C$10,$C$11,$C$12,$C$13))</f>
        <v>3.5761274679660979</v>
      </c>
      <c r="E23" s="17" cm="1">
        <f t="array" ref="E23">_xlfn.SWITCH(
  $B$3,
  "Lookback Call",    lb_call_rho_mc_ci_low($C$6,$C$7,$C$8,$C$9,$C$10,$C$11,$C$12,$C$13),
  "Lookback Put",     lb_put_rho_mc_ci_low($C$6,$C$7,$C$8,$C$9,$C$10,$C$11,$C$12,$C$13))</f>
        <v>-50.461622391898736</v>
      </c>
      <c r="F23" s="17" cm="1">
        <f t="array" ref="F23">_xlfn.SWITCH(
  $B$3,
  "Lookback Call",    lb_call_rho_mc_ci_high($C$6,$C$7,$C$8,$C$9,$C$10,$C$11,$C$12,$C$13),
  "Lookback Put",     lb_put_rho_mc_ci_high($C$6,$C$7,$C$8,$C$9,$C$10,$C$11,$C$12,$C$13))</f>
        <v>-36.443202717471628</v>
      </c>
      <c r="G23" s="12" cm="1">
        <f t="array" ref="G23">_xlfn.SWITCH(
  $B$3,
  "Lookback Call",    lb_call_rho_mc_vr($C$6,$C$7,$C$8,$C$9,$C$10,$C$11,$C$12,$C$13),
  "Lookback Put",     lb_put_rho_mc_vr($C$6,$C$7,$C$8,$C$9,$C$10,$C$11,$C$12,$C$13))</f>
        <v>-50.650826743094463</v>
      </c>
      <c r="H23" s="17" cm="1">
        <f t="array" ref="H23">_xlfn.SWITCH(
  $B$3,
  "Lookback Call",    lb_call_rho_mc_vr_se($C$6,$C$7,$C$8,$C$9,$C$10,$C$11,$C$12,$C$13),
  "Lookback Put",     lb_put_rho_mc_vr_se($C$6,$C$7,$C$8,$C$9,$C$10,$C$11,$C$12,$C$13))</f>
        <v>2.4305717331718739</v>
      </c>
      <c r="I23" s="17" cm="1">
        <f t="array" ref="I23">_xlfn.SWITCH(
  $B$3,
  "Lookback Call",    lb_call_rho_mc_vr_ci_low($C$6,$C$7,$C$8,$C$9,$C$10,$C$11,$C$12,$C$13),
  "Lookback Put",     lb_put_rho_mc_vr_ci_low($C$6,$C$7,$C$8,$C$9,$C$10,$C$11,$C$12,$C$13))</f>
        <v>-55.414747340111333</v>
      </c>
      <c r="J23" s="17" cm="1">
        <f t="array" ref="J23">_xlfn.SWITCH(
  $B$3,
  "Lookback Call",    lb_call_rho_mc_vr_ci_high($C$6,$C$7,$C$8,$C$9,$C$10,$C$11,$C$12,$C$13),
  "Lookback Put",     lb_put_rho_mc_vr_ci_high($C$6,$C$7,$C$8,$C$9,$C$10,$C$11,$C$12,$C$13))</f>
        <v>-45.886906146077592</v>
      </c>
      <c r="N23" s="20" t="s">
        <v>48</v>
      </c>
      <c r="O23" s="20" cm="1">
        <f t="array" ref="O23">lb_call_price_mc_se($C$6,$C$7,$C$8,$C$9,$C$10,$C$11,O$18,$C$13)*1.96</f>
        <v>3.3036437358604789</v>
      </c>
      <c r="P23" s="20" cm="1">
        <f t="array" ref="P23">lb_call_price_mc_se($C$6,$C$7,$C$8,$C$9,$C$10,$C$11,P$18,$C$13)*1.96</f>
        <v>3.0140234126953303</v>
      </c>
      <c r="Q23" s="20" cm="1">
        <f t="array" ref="Q23">lb_call_price_mc_se($C$6,$C$7,$C$8,$C$9,$C$10,$C$11,Q$18,$C$13)*1.96</f>
        <v>2.8379819268214259</v>
      </c>
      <c r="R23" s="20" cm="1">
        <f t="array" ref="R23">lb_call_price_mc_se($C$6,$C$7,$C$8,$C$9,$C$10,$C$11,R$18,$C$13)*1.96</f>
        <v>2.9625152599182023</v>
      </c>
      <c r="S23" s="20" cm="1">
        <f t="array" ref="S23">lb_call_price_mc_se($C$6,$C$7,$C$8,$C$9,$C$10,$C$11,S$18,$C$13)*1.96</f>
        <v>3.2145811630168235</v>
      </c>
      <c r="T23" s="20" cm="1">
        <f t="array" ref="T23">lb_call_price_mc_se($C$6,$C$7,$C$8,$C$9,$C$10,$C$11,T$18,$C$13)*1.96</f>
        <v>3.0404133398855451</v>
      </c>
      <c r="U23" s="20" cm="1">
        <f t="array" ref="U23">lb_call_price_mc_se($C$6,$C$7,$C$8,$C$9,$C$10,$C$11,U$18,$C$13)*1.96</f>
        <v>2.927166550891386</v>
      </c>
      <c r="V23" s="20" cm="1">
        <f t="array" ref="V23">lb_call_price_mc_se($C$6,$C$7,$C$8,$C$9,$C$10,$C$11,V$18,$C$13)*1.96</f>
        <v>3.0262172205022977</v>
      </c>
      <c r="W23" s="20" cm="1">
        <f t="array" ref="W23">lb_call_price_mc_se($C$6,$C$7,$C$8,$C$9,$C$10,$C$11,W$18,$C$13)*1.96</f>
        <v>2.752062426772687</v>
      </c>
      <c r="X23" s="20" cm="1">
        <f t="array" ref="X23">lb_call_price_mc_se($C$6,$C$7,$C$8,$C$9,$C$10,$C$11,X$18,$C$13)*1.96</f>
        <v>2.7873194971565933</v>
      </c>
      <c r="Y23" s="20" cm="1">
        <f t="array" ref="Y23">lb_call_price_mc_se($C$6,$C$7,$C$8,$C$9,$C$10,$C$11,Y$18,$C$13)*1.96</f>
        <v>2.7695409876461126</v>
      </c>
      <c r="Z23" s="20" cm="1">
        <f t="array" ref="Z23">lb_call_price_mc_se($C$6,$C$7,$C$8,$C$9,$C$10,$C$11,Z$18,$C$13)*1.96</f>
        <v>2.8456000965073058</v>
      </c>
      <c r="AA23" s="20" cm="1">
        <f t="array" ref="AA23">lb_call_price_mc_se($C$6,$C$7,$C$8,$C$9,$C$10,$C$11,AA$18,$C$13)*1.96</f>
        <v>2.4320323645639363</v>
      </c>
      <c r="AB23" s="20" cm="1">
        <f t="array" ref="AB23">lb_call_price_mc_se($C$6,$C$7,$C$8,$C$9,$C$10,$C$11,AB$18,$C$13)*1.96</f>
        <v>2.4167761441363207</v>
      </c>
      <c r="AC23" s="20" cm="1">
        <f t="array" ref="AC23">lb_call_price_mc_se($C$6,$C$7,$C$8,$C$9,$C$10,$C$11,AC$18,$C$13)*1.96</f>
        <v>2.5405508682811653</v>
      </c>
      <c r="AD23" s="20" cm="1">
        <f t="array" ref="AD23">lb_call_price_mc_se($C$6,$C$7,$C$8,$C$9,$C$10,$C$11,AD$18,$C$13)*1.96</f>
        <v>2.904097764004328</v>
      </c>
      <c r="AE23" s="20" cm="1">
        <f t="array" ref="AE23">lb_call_price_mc_se($C$6,$C$7,$C$8,$C$9,$C$10,$C$11,AE$18,$C$13)*1.96</f>
        <v>3.4023419068348888</v>
      </c>
      <c r="AF23" s="20" cm="1">
        <f t="array" ref="AF23">lb_call_price_mc_se($C$6,$C$7,$C$8,$C$9,$C$10,$C$11,AF$18,$C$13)*1.96</f>
        <v>3.0673469067766304</v>
      </c>
      <c r="AG23" s="20" cm="1">
        <f t="array" ref="AG23">lb_call_price_mc_se($C$6,$C$7,$C$8,$C$9,$C$10,$C$11,AG$18,$C$13)*1.96</f>
        <v>3.23006296282164</v>
      </c>
      <c r="AH23" s="20" cm="1">
        <f t="array" ref="AH23">lb_call_price_mc_se($C$6,$C$7,$C$8,$C$9,$C$10,$C$11,AH$18,$C$13)*1.96</f>
        <v>3.4685481434695102</v>
      </c>
      <c r="AI23" s="20" cm="1">
        <f t="array" ref="AI23">lb_call_price_mc_se($C$6,$C$7,$C$8,$C$9,$C$10,$C$11,AI$18,$C$13)*1.96</f>
        <v>3.2614400634870875</v>
      </c>
      <c r="AJ23" s="20" cm="1">
        <f t="array" ref="AJ23">lb_call_price_mc_se($C$6,$C$7,$C$8,$C$9,$C$10,$C$11,AJ$18,$C$13)*1.96</f>
        <v>3.5040020315409928</v>
      </c>
      <c r="AK23" s="20" cm="1">
        <f t="array" ref="AK23">lb_call_price_mc_se($C$6,$C$7,$C$8,$C$9,$C$10,$C$11,AK$18,$C$13)*1.96</f>
        <v>3.0524645365949286</v>
      </c>
      <c r="AL23" s="20" cm="1">
        <f t="array" ref="AL23">lb_call_price_mc_se($C$6,$C$7,$C$8,$C$9,$C$10,$C$11,AL$18,$C$13)*1.96</f>
        <v>3.1017660723654048</v>
      </c>
      <c r="AM23" s="20" cm="1">
        <f t="array" ref="AM23">lb_call_price_mc_se($C$6,$C$7,$C$8,$C$9,$C$10,$C$11,AM$18,$C$13)*1.96</f>
        <v>3.743181724006432</v>
      </c>
      <c r="AN23" s="20" cm="1">
        <f t="array" ref="AN23">lb_call_price_mc_se($C$6,$C$7,$C$8,$C$9,$C$10,$C$11,AN$18,$C$13)*1.96</f>
        <v>3.2541120633991212</v>
      </c>
      <c r="AO23" s="20" cm="1">
        <f t="array" ref="AO23">lb_call_price_mc_se($C$6,$C$7,$C$8,$C$9,$C$10,$C$11,AO$18,$C$13)*1.96</f>
        <v>3.1273107569592336</v>
      </c>
      <c r="AP23" s="20" cm="1">
        <f t="array" ref="AP23">lb_call_price_mc_se($C$6,$C$7,$C$8,$C$9,$C$10,$C$11,AP$18,$C$13)*1.96</f>
        <v>3.1917273641944952</v>
      </c>
      <c r="AQ23" s="20" cm="1">
        <f t="array" ref="AQ23">lb_call_price_mc_se($C$6,$C$7,$C$8,$C$9,$C$10,$C$11,AQ$18,$C$13)*1.96</f>
        <v>3.0162240268222837</v>
      </c>
      <c r="AR23" s="20" cm="1">
        <f t="array" ref="AR23">lb_call_price_mc_se($C$6,$C$7,$C$8,$C$9,$C$10,$C$11,AR$18,$C$13)*1.96</f>
        <v>3.4008928020582903</v>
      </c>
      <c r="AS23" s="20" cm="1">
        <f t="array" ref="AS23">lb_call_price_mc_se($C$6,$C$7,$C$8,$C$9,$C$10,$C$11,AS$18,$C$13)*1.96</f>
        <v>3.3531504189012344</v>
      </c>
      <c r="AT23" s="20" cm="1">
        <f t="array" ref="AT23">lb_call_price_mc_se($C$6,$C$7,$C$8,$C$9,$C$10,$C$11,AT$18,$C$13)*1.96</f>
        <v>2.7754861924347951</v>
      </c>
      <c r="AU23" s="20" cm="1">
        <f t="array" ref="AU23">lb_call_price_mc_se($C$6,$C$7,$C$8,$C$9,$C$10,$C$11,AU$18,$C$13)*1.96</f>
        <v>3.3379988189230465</v>
      </c>
      <c r="AV23" s="20" cm="1">
        <f t="array" ref="AV23">lb_call_price_mc_se($C$6,$C$7,$C$8,$C$9,$C$10,$C$11,AV$18,$C$13)*1.96</f>
        <v>3.0003033254711093</v>
      </c>
      <c r="AW23" s="20" cm="1">
        <f t="array" ref="AW23">lb_call_price_mc_se($C$6,$C$7,$C$8,$C$9,$C$10,$C$11,AW$18,$C$13)*1.96</f>
        <v>3.0431638418755522</v>
      </c>
      <c r="AX23" s="20" cm="1">
        <f t="array" ref="AX23">lb_call_price_mc_se($C$6,$C$7,$C$8,$C$9,$C$10,$C$11,AX$18,$C$13)*1.96</f>
        <v>3.2622661305776131</v>
      </c>
      <c r="AY23" s="20" cm="1">
        <f t="array" ref="AY23">lb_call_price_mc_se($C$6,$C$7,$C$8,$C$9,$C$10,$C$11,AY$18,$C$13)*1.96</f>
        <v>3.1849403372665734</v>
      </c>
      <c r="AZ23" s="20" cm="1">
        <f t="array" ref="AZ23">lb_call_price_mc_se($C$6,$C$7,$C$8,$C$9,$C$10,$C$11,AZ$18,$C$13)*1.96</f>
        <v>2.7504322052197394</v>
      </c>
      <c r="BA23" s="20" cm="1">
        <f t="array" ref="BA23">lb_call_price_mc_se($C$6,$C$7,$C$8,$C$9,$C$10,$C$11,BA$18,$C$13)*1.96</f>
        <v>2.8470979385905624</v>
      </c>
      <c r="BB23" s="20" cm="1">
        <f t="array" ref="BB23">lb_call_price_mc_se($C$6,$C$7,$C$8,$C$9,$C$10,$C$11,BB$18,$C$13)*1.96</f>
        <v>3.2308583284953549</v>
      </c>
      <c r="BC23" s="20" cm="1">
        <f t="array" ref="BC23">lb_call_price_mc_se($C$6,$C$7,$C$8,$C$9,$C$10,$C$11,BC$18,$C$13)*1.96</f>
        <v>2.8092315115483135</v>
      </c>
      <c r="BD23" s="20" cm="1">
        <f t="array" ref="BD23">lb_call_price_mc_se($C$6,$C$7,$C$8,$C$9,$C$10,$C$11,BD$18,$C$13)*1.96</f>
        <v>2.7426723238038044</v>
      </c>
      <c r="BE23" s="20" cm="1">
        <f t="array" ref="BE23">lb_call_price_mc_se($C$6,$C$7,$C$8,$C$9,$C$10,$C$11,BE$18,$C$13)*1.96</f>
        <v>2.8366466483993276</v>
      </c>
      <c r="BF23" s="20" cm="1">
        <f t="array" ref="BF23">lb_call_price_mc_se($C$6,$C$7,$C$8,$C$9,$C$10,$C$11,BF$18,$C$13)*1.96</f>
        <v>3.0478224118185855</v>
      </c>
      <c r="BG23" s="20" cm="1">
        <f t="array" ref="BG23">lb_call_price_mc_se($C$6,$C$7,$C$8,$C$9,$C$10,$C$11,BG$18,$C$13)*1.96</f>
        <v>3.3061468046636193</v>
      </c>
      <c r="BH23" s="20" cm="1">
        <f t="array" ref="BH23">lb_call_price_mc_se($C$6,$C$7,$C$8,$C$9,$C$10,$C$11,BH$18,$C$13)*1.96</f>
        <v>3.1882056003078323</v>
      </c>
      <c r="BI23" s="20" cm="1">
        <f t="array" ref="BI23">lb_call_price_mc_se($C$6,$C$7,$C$8,$C$9,$C$10,$C$11,BI$18,$C$13)*1.96</f>
        <v>3.0059025019780012</v>
      </c>
      <c r="BJ23" s="20" cm="1">
        <f t="array" ref="BJ23">lb_call_price_mc_se($C$6,$C$7,$C$8,$C$9,$C$10,$C$11,BJ$18,$C$13)*1.96</f>
        <v>3.0591576331954049</v>
      </c>
      <c r="BK23" s="20" cm="1">
        <f t="array" ref="BK23">lb_call_price_mc_se($C$6,$C$7,$C$8,$C$9,$C$10,$C$11,BK$18,$C$13)*1.96</f>
        <v>2.932948275038314</v>
      </c>
      <c r="BL23" s="20" cm="1">
        <f t="array" ref="BL23">lb_call_price_mc_se($C$6,$C$7,$C$8,$C$9,$C$10,$C$11,BL$18,$C$13)*1.96</f>
        <v>2.8725733806373874</v>
      </c>
      <c r="BM23" s="20" cm="1">
        <f t="array" ref="BM23">lb_call_price_mc_se($C$6,$C$7,$C$8,$C$9,$C$10,$C$11,BM$18,$C$13)*1.96</f>
        <v>3.3672198041698986</v>
      </c>
      <c r="BN23" s="20" cm="1">
        <f t="array" ref="BN23">lb_call_price_mc_se($C$6,$C$7,$C$8,$C$9,$C$10,$C$11,BN$18,$C$13)*1.96</f>
        <v>2.9024253745649506</v>
      </c>
      <c r="BO23" s="20" cm="1">
        <f t="array" ref="BO23">lb_call_price_mc_se($C$6,$C$7,$C$8,$C$9,$C$10,$C$11,BO$18,$C$13)*1.96</f>
        <v>3.0633943344163952</v>
      </c>
      <c r="BP23" s="20" cm="1">
        <f t="array" ref="BP23">lb_call_price_mc_se($C$6,$C$7,$C$8,$C$9,$C$10,$C$11,BP$18,$C$13)*1.96</f>
        <v>2.775734054442653</v>
      </c>
      <c r="BQ23" s="20" cm="1">
        <f t="array" ref="BQ23">lb_call_price_mc_se($C$6,$C$7,$C$8,$C$9,$C$10,$C$11,BQ$18,$C$13)*1.96</f>
        <v>2.6684919016557536</v>
      </c>
      <c r="BR23" s="20" cm="1">
        <f t="array" ref="BR23">lb_call_price_mc_se($C$6,$C$7,$C$8,$C$9,$C$10,$C$11,BR$18,$C$13)*1.96</f>
        <v>3.0255881350995417</v>
      </c>
      <c r="BS23" s="20" cm="1">
        <f t="array" ref="BS23">lb_call_price_mc_se($C$6,$C$7,$C$8,$C$9,$C$10,$C$11,BS$18,$C$13)*1.96</f>
        <v>2.7679307957183248</v>
      </c>
      <c r="BT23" s="20" cm="1">
        <f t="array" ref="BT23">lb_call_price_mc_se($C$6,$C$7,$C$8,$C$9,$C$10,$C$11,BT$18,$C$13)*1.96</f>
        <v>2.4621329689394242</v>
      </c>
      <c r="BU23" s="20" cm="1">
        <f t="array" ref="BU23">lb_call_price_mc_se($C$6,$C$7,$C$8,$C$9,$C$10,$C$11,BU$18,$C$13)*1.96</f>
        <v>3.0561439186305033</v>
      </c>
      <c r="BV23" s="20" cm="1">
        <f t="array" ref="BV23">lb_call_price_mc_se($C$6,$C$7,$C$8,$C$9,$C$10,$C$11,BV$18,$C$13)*1.96</f>
        <v>2.8872705663129286</v>
      </c>
      <c r="BW23" s="20" cm="1">
        <f t="array" ref="BW23">lb_call_price_mc_se($C$6,$C$7,$C$8,$C$9,$C$10,$C$11,BW$18,$C$13)*1.96</f>
        <v>3.9760911065789042</v>
      </c>
      <c r="BX23" s="20" cm="1">
        <f t="array" ref="BX23">lb_call_price_mc_se($C$6,$C$7,$C$8,$C$9,$C$10,$C$11,BX$18,$C$13)*1.96</f>
        <v>3.1551048547405252</v>
      </c>
      <c r="BY23" s="20" cm="1">
        <f t="array" ref="BY23">lb_call_price_mc_se($C$6,$C$7,$C$8,$C$9,$C$10,$C$11,BY$18,$C$13)*1.96</f>
        <v>3.6220150717677599</v>
      </c>
      <c r="BZ23" s="20" cm="1">
        <f t="array" ref="BZ23">lb_call_price_mc_se($C$6,$C$7,$C$8,$C$9,$C$10,$C$11,BZ$18,$C$13)*1.96</f>
        <v>3.2805689444627428</v>
      </c>
      <c r="CA23" s="20" cm="1">
        <f t="array" ref="CA23">lb_call_price_mc_se($C$6,$C$7,$C$8,$C$9,$C$10,$C$11,CA$18,$C$13)*1.96</f>
        <v>3.3723855692579745</v>
      </c>
      <c r="CB23" s="20" cm="1">
        <f t="array" ref="CB23">lb_call_price_mc_se($C$6,$C$7,$C$8,$C$9,$C$10,$C$11,CB$18,$C$13)*1.96</f>
        <v>3.6082695233041728</v>
      </c>
      <c r="CC23" s="20" cm="1">
        <f t="array" ref="CC23">lb_call_price_mc_se($C$6,$C$7,$C$8,$C$9,$C$10,$C$11,CC$18,$C$13)*1.96</f>
        <v>3.3877728587719651</v>
      </c>
      <c r="CD23" s="20" cm="1">
        <f t="array" ref="CD23">lb_call_price_mc_se($C$6,$C$7,$C$8,$C$9,$C$10,$C$11,CD$18,$C$13)*1.96</f>
        <v>3.3938171605047209</v>
      </c>
      <c r="CE23" s="20" cm="1">
        <f t="array" ref="CE23">lb_call_price_mc_se($C$6,$C$7,$C$8,$C$9,$C$10,$C$11,CE$18,$C$13)*1.96</f>
        <v>3.4342882712360105</v>
      </c>
      <c r="CF23" s="20" cm="1">
        <f t="array" ref="CF23">lb_call_price_mc_se($C$6,$C$7,$C$8,$C$9,$C$10,$C$11,CF$18,$C$13)*1.96</f>
        <v>3.4262694898021184</v>
      </c>
      <c r="CG23" s="20" cm="1">
        <f t="array" ref="CG23">lb_call_price_mc_se($C$6,$C$7,$C$8,$C$9,$C$10,$C$11,CG$18,$C$13)*1.96</f>
        <v>3.4725486011291107</v>
      </c>
      <c r="CH23" s="20" cm="1">
        <f t="array" ref="CH23">lb_call_price_mc_se($C$6,$C$7,$C$8,$C$9,$C$10,$C$11,CH$18,$C$13)*1.96</f>
        <v>3.4557009883933643</v>
      </c>
      <c r="CI23" s="20" cm="1">
        <f t="array" ref="CI23">lb_call_price_mc_se($C$6,$C$7,$C$8,$C$9,$C$10,$C$11,CI$18,$C$13)*1.96</f>
        <v>3.5517731022608539</v>
      </c>
      <c r="CJ23" s="20" cm="1">
        <f t="array" ref="CJ23">lb_call_price_mc_se($C$6,$C$7,$C$8,$C$9,$C$10,$C$11,CJ$18,$C$13)*1.96</f>
        <v>3.323195554713823</v>
      </c>
      <c r="CK23" s="20" cm="1">
        <f t="array" ref="CK23">lb_call_price_mc_se($C$6,$C$7,$C$8,$C$9,$C$10,$C$11,CK$18,$C$13)*1.96</f>
        <v>3.4469672141785943</v>
      </c>
      <c r="CL23" s="20" cm="1">
        <f t="array" ref="CL23">lb_call_price_mc_se($C$6,$C$7,$C$8,$C$9,$C$10,$C$11,CL$18,$C$13)*1.96</f>
        <v>3.4725916371654373</v>
      </c>
      <c r="CM23" s="20" cm="1">
        <f t="array" ref="CM23">lb_call_price_mc_se($C$6,$C$7,$C$8,$C$9,$C$10,$C$11,CM$18,$C$13)*1.96</f>
        <v>3.5922487775335497</v>
      </c>
      <c r="CN23" s="20" cm="1">
        <f t="array" ref="CN23">lb_call_price_mc_se($C$6,$C$7,$C$8,$C$9,$C$10,$C$11,CN$18,$C$13)*1.96</f>
        <v>3.2546746352873601</v>
      </c>
      <c r="CO23" s="20" cm="1">
        <f t="array" ref="CO23">lb_call_price_mc_se($C$6,$C$7,$C$8,$C$9,$C$10,$C$11,CO$18,$C$13)*1.96</f>
        <v>3.3251246974756494</v>
      </c>
      <c r="CP23" s="20" cm="1">
        <f t="array" ref="CP23">lb_call_price_mc_se($C$6,$C$7,$C$8,$C$9,$C$10,$C$11,CP$18,$C$13)*1.96</f>
        <v>3.5443327524156465</v>
      </c>
      <c r="CQ23" s="20" cm="1">
        <f t="array" ref="CQ23">lb_call_price_mc_se($C$6,$C$7,$C$8,$C$9,$C$10,$C$11,CQ$18,$C$13)*1.96</f>
        <v>3.1515716592897927</v>
      </c>
      <c r="CR23" s="20" cm="1">
        <f t="array" ref="CR23">lb_call_price_mc_se($C$6,$C$7,$C$8,$C$9,$C$10,$C$11,CR$18,$C$13)*1.96</f>
        <v>3.6284199188455624</v>
      </c>
      <c r="CS23" s="20" cm="1">
        <f t="array" ref="CS23">lb_call_price_mc_se($C$6,$C$7,$C$8,$C$9,$C$10,$C$11,CS$18,$C$13)*1.96</f>
        <v>3.7651046348907871</v>
      </c>
      <c r="CT23" s="20" cm="1">
        <f t="array" ref="CT23">lb_call_price_mc_se($C$6,$C$7,$C$8,$C$9,$C$10,$C$11,CT$18,$C$13)*1.96</f>
        <v>3.3377703285878475</v>
      </c>
      <c r="CU23" s="20" cm="1">
        <f t="array" ref="CU23">lb_call_price_mc_se($C$6,$C$7,$C$8,$C$9,$C$10,$C$11,CU$18,$C$13)*1.96</f>
        <v>3.0989577931982035</v>
      </c>
      <c r="CV23" s="20" cm="1">
        <f t="array" ref="CV23">lb_call_price_mc_se($C$6,$C$7,$C$8,$C$9,$C$10,$C$11,CV$18,$C$13)*1.96</f>
        <v>3.4746865548109507</v>
      </c>
      <c r="CW23" s="20" cm="1">
        <f t="array" ref="CW23">lb_call_price_mc_se($C$6,$C$7,$C$8,$C$9,$C$10,$C$11,CW$18,$C$13)*1.96</f>
        <v>3.1242625311347818</v>
      </c>
      <c r="CX23" s="20" cm="1">
        <f t="array" ref="CX23">lb_call_price_mc_se($C$6,$C$7,$C$8,$C$9,$C$10,$C$11,CX$18,$C$13)*1.96</f>
        <v>3.6095688847525191</v>
      </c>
      <c r="CY23" s="20" cm="1">
        <f t="array" ref="CY23">lb_call_price_mc_se($C$6,$C$7,$C$8,$C$9,$C$10,$C$11,CY$18,$C$13)*1.96</f>
        <v>3.5562028576302436</v>
      </c>
      <c r="CZ23" s="20" cm="1">
        <f t="array" ref="CZ23">lb_call_price_mc_se($C$6,$C$7,$C$8,$C$9,$C$10,$C$11,CZ$18,$C$13)*1.96</f>
        <v>3.4117894928154193</v>
      </c>
      <c r="DA23" s="20" cm="1">
        <f t="array" ref="DA23">lb_call_price_mc_se($C$6,$C$7,$C$8,$C$9,$C$10,$C$11,DA$18,$C$13)*1.96</f>
        <v>3.2188710219613177</v>
      </c>
      <c r="DB23" s="20" cm="1">
        <f t="array" ref="DB23">lb_call_price_mc_se($C$6,$C$7,$C$8,$C$9,$C$10,$C$11,DB$18,$C$13)*1.96</f>
        <v>3.3173210220712144</v>
      </c>
      <c r="DC23" s="20" cm="1">
        <f t="array" ref="DC23">lb_call_price_mc_se($C$6,$C$7,$C$8,$C$9,$C$10,$C$11,DC$18,$C$13)*1.96</f>
        <v>3.2755521152679368</v>
      </c>
      <c r="DD23" s="20" cm="1">
        <f t="array" ref="DD23">lb_call_price_mc_se($C$6,$C$7,$C$8,$C$9,$C$10,$C$11,DD$18,$C$13)*1.96</f>
        <v>3.5681349857806719</v>
      </c>
      <c r="DE23" s="20" cm="1">
        <f t="array" ref="DE23">lb_call_price_mc_se($C$6,$C$7,$C$8,$C$9,$C$10,$C$11,DE$18,$C$13)*1.96</f>
        <v>3.6143808998466724</v>
      </c>
      <c r="DF23" s="20" cm="1">
        <f t="array" ref="DF23">lb_call_price_mc_se($C$6,$C$7,$C$8,$C$9,$C$10,$C$11,DF$18,$C$13)*1.96</f>
        <v>2.9524520052723888</v>
      </c>
      <c r="DG23" s="20" cm="1">
        <f t="array" ref="DG23">lb_call_price_mc_se($C$6,$C$7,$C$8,$C$9,$C$10,$C$11,DG$18,$C$13)*1.96</f>
        <v>3.2576289091722708</v>
      </c>
      <c r="DH23" s="20" cm="1">
        <f t="array" ref="DH23">lb_call_price_mc_se($C$6,$C$7,$C$8,$C$9,$C$10,$C$11,DH$18,$C$13)*1.96</f>
        <v>3.4304403458609967</v>
      </c>
      <c r="DI23" s="20" cm="1">
        <f t="array" ref="DI23">lb_call_price_mc_se($C$6,$C$7,$C$8,$C$9,$C$10,$C$11,DI$18,$C$13)*1.96</f>
        <v>3.2035466892916893</v>
      </c>
      <c r="DJ23" s="20" cm="1">
        <f t="array" ref="DJ23">lb_call_price_mc_se($C$6,$C$7,$C$8,$C$9,$C$10,$C$11,DJ$18,$C$13)*1.96</f>
        <v>3.3720892314057527</v>
      </c>
    </row>
    <row r="24" spans="1:117" ht="20.55" customHeight="1" thickTop="1" thickBot="1" x14ac:dyDescent="0.5">
      <c r="A24" s="13" t="s">
        <v>22</v>
      </c>
      <c r="B24" s="15" t="s">
        <v>33</v>
      </c>
      <c r="C24" s="12" cm="1">
        <f t="array" ref="C24">_xlfn.SWITCH(
  $B$3,
  "Lookback Call",    lb_call_vega_mc($C$6,$C$7,$C$8,$C$9,$C$10,$C$11,$C$12,$C$13),
  "Lookback Put",     lb_put_vega_mc($C$6,$C$7,$C$8,$C$9,$C$10,$C$11,$C$12,$C$13))</f>
        <v>72.499861536344</v>
      </c>
      <c r="D24" s="17" cm="1">
        <f t="array" ref="D24">_xlfn.SWITCH(
  $B$3,
  "Lookback Call",    lb_call_vega_mc_se($C$6,$C$7,$C$8,$C$9,$C$10,$C$11,$C$12,$C$13),
  "Lookback Put",     lb_put_vega_mc_se($C$6,$C$7,$C$8,$C$9,$C$10,$C$11,$C$12,$C$13))</f>
        <v>5.2877693591164991</v>
      </c>
      <c r="E24" s="17" cm="1">
        <f t="array" ref="E24">_xlfn.SWITCH(
  $B$3,
  "Lookback Call",    lb_call_vega_mc_ci_low($C$6,$C$7,$C$8,$C$9,$C$10,$C$11,$C$12,$C$13),
  "Lookback Put",     lb_put_vega_mc_ci_low($C$6,$C$7,$C$8,$C$9,$C$10,$C$11,$C$12,$C$13))</f>
        <v>62.135833592475663</v>
      </c>
      <c r="F24" s="17" cm="1">
        <f t="array" ref="F24">_xlfn.SWITCH(
  $B$3,
  "Lookback Call",    lb_call_vega_mc_ci_high($C$6,$C$7,$C$8,$C$9,$C$10,$C$11,$C$12,$C$13),
  "Lookback Put",     lb_put_vega_mc_ci_high($C$6,$C$7,$C$8,$C$9,$C$10,$C$11,$C$12,$C$13))</f>
        <v>82.863889480212336</v>
      </c>
      <c r="G24" s="12" cm="1">
        <f t="array" ref="G24">_xlfn.SWITCH(
  $B$3,
  "Lookback Call",    lb_call_vega_mc_vr($C$6,$C$7,$C$8,$C$9,$C$10,$C$11,$C$12,$C$13),
  "Lookback Put",     lb_put_vega_mc_vr($C$6,$C$7,$C$8,$C$9,$C$10,$C$11,$C$12,$C$13))</f>
        <v>79.231064131791072</v>
      </c>
      <c r="H24" s="17" cm="1">
        <f t="array" ref="H24">_xlfn.SWITCH(
  $B$3,
  "Lookback Call",    lb_call_vega_mc_vr_se($C$6,$C$7,$C$8,$C$9,$C$10,$C$11,$C$12,$C$13),
  "Lookback Put",     lb_put_vega_mc_vr_se($C$6,$C$7,$C$8,$C$9,$C$10,$C$11,$C$12,$C$13))</f>
        <v>3.218981305575725</v>
      </c>
      <c r="I24" s="17" cm="1">
        <f t="array" ref="I24">_xlfn.SWITCH(
  $B$3,
  "Lookback Call",    lb_call_vega_mc_vr_ci_low($C$6,$C$7,$C$8,$C$9,$C$10,$C$11,$C$12,$C$13),
  "Lookback Put",     lb_put_vega_mc_vr_ci_low($C$6,$C$7,$C$8,$C$9,$C$10,$C$11,$C$12,$C$13))</f>
        <v>72.921860772862658</v>
      </c>
      <c r="J24" s="17" cm="1">
        <f t="array" ref="J24">_xlfn.SWITCH(
  $B$3,
  "Lookback Call",    lb_call_vega_mc_vr_ci_high($C$6,$C$7,$C$8,$C$9,$C$10,$C$11,$C$12,$C$13),
  "Lookback Put",     lb_put_vega_mc_vr_ci_high($C$6,$C$7,$C$8,$C$9,$C$10,$C$11,$C$12,$C$13))</f>
        <v>85.540267490719486</v>
      </c>
      <c r="N24" s="20" t="s">
        <v>49</v>
      </c>
      <c r="O24" s="20" cm="1">
        <f t="array" ref="O24">lb_call_price_mc_vr_se($C$6,$C$7,$C$8,$C$9,$C$10,$C$11,O$18,$C$13)*1.96</f>
        <v>2.5831322313295373</v>
      </c>
      <c r="P24" s="20" cm="1">
        <f t="array" ref="P24">lb_call_price_mc_vr_se($C$6,$C$7,$C$8,$C$9,$C$10,$C$11,P$18,$C$13)*1.96</f>
        <v>2.0393072969845161</v>
      </c>
      <c r="Q24" s="20" cm="1">
        <f t="array" ref="Q24">lb_call_price_mc_vr_se($C$6,$C$7,$C$8,$C$9,$C$10,$C$11,Q$18,$C$13)*1.96</f>
        <v>2.1260079132502443</v>
      </c>
      <c r="R24" s="20" cm="1">
        <f t="array" ref="R24">lb_call_price_mc_vr_se($C$6,$C$7,$C$8,$C$9,$C$10,$C$11,R$18,$C$13)*1.96</f>
        <v>1.9274315370598687</v>
      </c>
      <c r="S24" s="20" cm="1">
        <f t="array" ref="S24">lb_call_price_mc_vr_se($C$6,$C$7,$C$8,$C$9,$C$10,$C$11,S$18,$C$13)*1.96</f>
        <v>2.1111167569666436</v>
      </c>
      <c r="T24" s="20" cm="1">
        <f t="array" ref="T24">lb_call_price_mc_vr_se($C$6,$C$7,$C$8,$C$9,$C$10,$C$11,T$18,$C$13)*1.96</f>
        <v>2.0776488126371011</v>
      </c>
      <c r="U24" s="20" cm="1">
        <f t="array" ref="U24">lb_call_price_mc_vr_se($C$6,$C$7,$C$8,$C$9,$C$10,$C$11,U$18,$C$13)*1.96</f>
        <v>1.9726597750744548</v>
      </c>
      <c r="V24" s="20" cm="1">
        <f t="array" ref="V24">lb_call_price_mc_vr_se($C$6,$C$7,$C$8,$C$9,$C$10,$C$11,V$18,$C$13)*1.96</f>
        <v>2.0071993304342004</v>
      </c>
      <c r="W24" s="20" cm="1">
        <f t="array" ref="W24">lb_call_price_mc_vr_se($C$6,$C$7,$C$8,$C$9,$C$10,$C$11,W$18,$C$13)*1.96</f>
        <v>1.6384698252592449</v>
      </c>
      <c r="X24" s="20" cm="1">
        <f t="array" ref="X24">lb_call_price_mc_vr_se($C$6,$C$7,$C$8,$C$9,$C$10,$C$11,X$18,$C$13)*1.96</f>
        <v>1.7657506279610189</v>
      </c>
      <c r="Y24" s="20" cm="1">
        <f t="array" ref="Y24">lb_call_price_mc_vr_se($C$6,$C$7,$C$8,$C$9,$C$10,$C$11,Y$18,$C$13)*1.96</f>
        <v>2.0297569002498332</v>
      </c>
      <c r="Z24" s="20" cm="1">
        <f t="array" ref="Z24">lb_call_price_mc_vr_se($C$6,$C$7,$C$8,$C$9,$C$10,$C$11,Z$18,$C$13)*1.96</f>
        <v>1.7703298343910314</v>
      </c>
      <c r="AA24" s="20" cm="1">
        <f t="array" ref="AA24">lb_call_price_mc_vr_se($C$6,$C$7,$C$8,$C$9,$C$10,$C$11,AA$18,$C$13)*1.96</f>
        <v>1.5997022706532769</v>
      </c>
      <c r="AB24" s="20" cm="1">
        <f t="array" ref="AB24">lb_call_price_mc_vr_se($C$6,$C$7,$C$8,$C$9,$C$10,$C$11,AB$18,$C$13)*1.96</f>
        <v>1.6368044955324004</v>
      </c>
      <c r="AC24" s="20" cm="1">
        <f t="array" ref="AC24">lb_call_price_mc_vr_se($C$6,$C$7,$C$8,$C$9,$C$10,$C$11,AC$18,$C$13)*1.96</f>
        <v>1.7806975747874665</v>
      </c>
      <c r="AD24" s="20" cm="1">
        <f t="array" ref="AD24">lb_call_price_mc_vr_se($C$6,$C$7,$C$8,$C$9,$C$10,$C$11,AD$18,$C$13)*1.96</f>
        <v>1.730869106467865</v>
      </c>
      <c r="AE24" s="20" cm="1">
        <f t="array" ref="AE24">lb_call_price_mc_vr_se($C$6,$C$7,$C$8,$C$9,$C$10,$C$11,AE$18,$C$13)*1.96</f>
        <v>1.7120651925584154</v>
      </c>
      <c r="AF24" s="20" cm="1">
        <f t="array" ref="AF24">lb_call_price_mc_vr_se($C$6,$C$7,$C$8,$C$9,$C$10,$C$11,AF$18,$C$13)*1.96</f>
        <v>1.3674759190059671</v>
      </c>
      <c r="AG24" s="20" cm="1">
        <f t="array" ref="AG24">lb_call_price_mc_vr_se($C$6,$C$7,$C$8,$C$9,$C$10,$C$11,AG$18,$C$13)*1.96</f>
        <v>1.581172794529011</v>
      </c>
      <c r="AH24" s="20" cm="1">
        <f t="array" ref="AH24">lb_call_price_mc_vr_se($C$6,$C$7,$C$8,$C$9,$C$10,$C$11,AH$18,$C$13)*1.96</f>
        <v>1.5741193813225374</v>
      </c>
      <c r="AI24" s="20" cm="1">
        <f t="array" ref="AI24">lb_call_price_mc_vr_se($C$6,$C$7,$C$8,$C$9,$C$10,$C$11,AI$18,$C$13)*1.96</f>
        <v>1.1879362687075921</v>
      </c>
      <c r="AJ24" s="20" cm="1">
        <f t="array" ref="AJ24">lb_call_price_mc_vr_se($C$6,$C$7,$C$8,$C$9,$C$10,$C$11,AJ$18,$C$13)*1.96</f>
        <v>1.9403781189543599</v>
      </c>
      <c r="AK24" s="20" cm="1">
        <f t="array" ref="AK24">lb_call_price_mc_vr_se($C$6,$C$7,$C$8,$C$9,$C$10,$C$11,AK$18,$C$13)*1.96</f>
        <v>1.5258401543777385</v>
      </c>
      <c r="AL24" s="20" cm="1">
        <f t="array" ref="AL24">lb_call_price_mc_vr_se($C$6,$C$7,$C$8,$C$9,$C$10,$C$11,AL$18,$C$13)*1.96</f>
        <v>1.345275745294195</v>
      </c>
      <c r="AM24" s="20" cm="1">
        <f t="array" ref="AM24">lb_call_price_mc_vr_se($C$6,$C$7,$C$8,$C$9,$C$10,$C$11,AM$18,$C$13)*1.96</f>
        <v>1.4306441207462124</v>
      </c>
      <c r="AN24" s="20" cm="1">
        <f t="array" ref="AN24">lb_call_price_mc_vr_se($C$6,$C$7,$C$8,$C$9,$C$10,$C$11,AN$18,$C$13)*1.96</f>
        <v>1.4398337382006117</v>
      </c>
      <c r="AO24" s="20" cm="1">
        <f t="array" ref="AO24">lb_call_price_mc_vr_se($C$6,$C$7,$C$8,$C$9,$C$10,$C$11,AO$18,$C$13)*1.96</f>
        <v>1.6058574795452198</v>
      </c>
      <c r="AP24" s="20" cm="1">
        <f t="array" ref="AP24">lb_call_price_mc_vr_se($C$6,$C$7,$C$8,$C$9,$C$10,$C$11,AP$18,$C$13)*1.96</f>
        <v>1.5232366892613252</v>
      </c>
      <c r="AQ24" s="20" cm="1">
        <f t="array" ref="AQ24">lb_call_price_mc_vr_se($C$6,$C$7,$C$8,$C$9,$C$10,$C$11,AQ$18,$C$13)*1.96</f>
        <v>1.2911206828786814</v>
      </c>
      <c r="AR24" s="20" cm="1">
        <f t="array" ref="AR24">lb_call_price_mc_vr_se($C$6,$C$7,$C$8,$C$9,$C$10,$C$11,AR$18,$C$13)*1.96</f>
        <v>1.3756945368124474</v>
      </c>
      <c r="AS24" s="20" cm="1">
        <f t="array" ref="AS24">lb_call_price_mc_vr_se($C$6,$C$7,$C$8,$C$9,$C$10,$C$11,AS$18,$C$13)*1.96</f>
        <v>1.7174929704751063</v>
      </c>
      <c r="AT24" s="20" cm="1">
        <f t="array" ref="AT24">lb_call_price_mc_vr_se($C$6,$C$7,$C$8,$C$9,$C$10,$C$11,AT$18,$C$13)*1.96</f>
        <v>1.5614858674805037</v>
      </c>
      <c r="AU24" s="20" cm="1">
        <f t="array" ref="AU24">lb_call_price_mc_vr_se($C$6,$C$7,$C$8,$C$9,$C$10,$C$11,AU$18,$C$13)*1.96</f>
        <v>2.1500986468610828</v>
      </c>
      <c r="AV24" s="20" cm="1">
        <f t="array" ref="AV24">lb_call_price_mc_vr_se($C$6,$C$7,$C$8,$C$9,$C$10,$C$11,AV$18,$C$13)*1.96</f>
        <v>1.7508523024445122</v>
      </c>
      <c r="AW24" s="20" cm="1">
        <f t="array" ref="AW24">lb_call_price_mc_vr_se($C$6,$C$7,$C$8,$C$9,$C$10,$C$11,AW$18,$C$13)*1.96</f>
        <v>1.7558393403981956</v>
      </c>
      <c r="AX24" s="20" cm="1">
        <f t="array" ref="AX24">lb_call_price_mc_vr_se($C$6,$C$7,$C$8,$C$9,$C$10,$C$11,AX$18,$C$13)*1.96</f>
        <v>1.763518563640913</v>
      </c>
      <c r="AY24" s="20" cm="1">
        <f t="array" ref="AY24">lb_call_price_mc_vr_se($C$6,$C$7,$C$8,$C$9,$C$10,$C$11,AY$18,$C$13)*1.96</f>
        <v>1.8910565422209091</v>
      </c>
      <c r="AZ24" s="20" cm="1">
        <f t="array" ref="AZ24">lb_call_price_mc_vr_se($C$6,$C$7,$C$8,$C$9,$C$10,$C$11,AZ$18,$C$13)*1.96</f>
        <v>1.4803782563146659</v>
      </c>
      <c r="BA24" s="20" cm="1">
        <f t="array" ref="BA24">lb_call_price_mc_vr_se($C$6,$C$7,$C$8,$C$9,$C$10,$C$11,BA$18,$C$13)*1.96</f>
        <v>1.4531001559063723</v>
      </c>
      <c r="BB24" s="20" cm="1">
        <f t="array" ref="BB24">lb_call_price_mc_vr_se($C$6,$C$7,$C$8,$C$9,$C$10,$C$11,BB$18,$C$13)*1.96</f>
        <v>1.754258784651346</v>
      </c>
      <c r="BC24" s="20" cm="1">
        <f t="array" ref="BC24">lb_call_price_mc_vr_se($C$6,$C$7,$C$8,$C$9,$C$10,$C$11,BC$18,$C$13)*1.96</f>
        <v>1.6336399028945046</v>
      </c>
      <c r="BD24" s="20" cm="1">
        <f t="array" ref="BD24">lb_call_price_mc_vr_se($C$6,$C$7,$C$8,$C$9,$C$10,$C$11,BD$18,$C$13)*1.96</f>
        <v>1.530833464594868</v>
      </c>
      <c r="BE24" s="20" cm="1">
        <f t="array" ref="BE24">lb_call_price_mc_vr_se($C$6,$C$7,$C$8,$C$9,$C$10,$C$11,BE$18,$C$13)*1.96</f>
        <v>1.6664219836221785</v>
      </c>
      <c r="BF24" s="20" cm="1">
        <f t="array" ref="BF24">lb_call_price_mc_vr_se($C$6,$C$7,$C$8,$C$9,$C$10,$C$11,BF$18,$C$13)*1.96</f>
        <v>1.9780040225830653</v>
      </c>
      <c r="BG24" s="20" cm="1">
        <f t="array" ref="BG24">lb_call_price_mc_vr_se($C$6,$C$7,$C$8,$C$9,$C$10,$C$11,BG$18,$C$13)*1.96</f>
        <v>2.2176858461607019</v>
      </c>
      <c r="BH24" s="20" cm="1">
        <f t="array" ref="BH24">lb_call_price_mc_vr_se($C$6,$C$7,$C$8,$C$9,$C$10,$C$11,BH$18,$C$13)*1.96</f>
        <v>2.0399407439904542</v>
      </c>
      <c r="BI24" s="20" cm="1">
        <f t="array" ref="BI24">lb_call_price_mc_vr_se($C$6,$C$7,$C$8,$C$9,$C$10,$C$11,BI$18,$C$13)*1.96</f>
        <v>1.8496707635318277</v>
      </c>
      <c r="BJ24" s="20" cm="1">
        <f t="array" ref="BJ24">lb_call_price_mc_vr_se($C$6,$C$7,$C$8,$C$9,$C$10,$C$11,BJ$18,$C$13)*1.96</f>
        <v>1.9646606603889394</v>
      </c>
      <c r="BK24" s="20" cm="1">
        <f t="array" ref="BK24">lb_call_price_mc_vr_se($C$6,$C$7,$C$8,$C$9,$C$10,$C$11,BK$18,$C$13)*1.96</f>
        <v>1.8299688985094835</v>
      </c>
      <c r="BL24" s="20" cm="1">
        <f t="array" ref="BL24">lb_call_price_mc_vr_se($C$6,$C$7,$C$8,$C$9,$C$10,$C$11,BL$18,$C$13)*1.96</f>
        <v>1.5585004362850288</v>
      </c>
      <c r="BM24" s="20" cm="1">
        <f t="array" ref="BM24">lb_call_price_mc_vr_se($C$6,$C$7,$C$8,$C$9,$C$10,$C$11,BM$18,$C$13)*1.96</f>
        <v>2.1114010111599155</v>
      </c>
      <c r="BN24" s="20" cm="1">
        <f t="array" ref="BN24">lb_call_price_mc_vr_se($C$6,$C$7,$C$8,$C$9,$C$10,$C$11,BN$18,$C$13)*1.96</f>
        <v>1.7416308173953978</v>
      </c>
      <c r="BO24" s="20" cm="1">
        <f t="array" ref="BO24">lb_call_price_mc_vr_se($C$6,$C$7,$C$8,$C$9,$C$10,$C$11,BO$18,$C$13)*1.96</f>
        <v>1.9142042069938048</v>
      </c>
      <c r="BP24" s="20" cm="1">
        <f t="array" ref="BP24">lb_call_price_mc_vr_se($C$6,$C$7,$C$8,$C$9,$C$10,$C$11,BP$18,$C$13)*1.96</f>
        <v>1.6321652736768619</v>
      </c>
      <c r="BQ24" s="20" cm="1">
        <f t="array" ref="BQ24">lb_call_price_mc_vr_se($C$6,$C$7,$C$8,$C$9,$C$10,$C$11,BQ$18,$C$13)*1.96</f>
        <v>1.7206587364342327</v>
      </c>
      <c r="BR24" s="20" cm="1">
        <f t="array" ref="BR24">lb_call_price_mc_vr_se($C$6,$C$7,$C$8,$C$9,$C$10,$C$11,BR$18,$C$13)*1.96</f>
        <v>1.8521965578519886</v>
      </c>
      <c r="BS24" s="20" cm="1">
        <f t="array" ref="BS24">lb_call_price_mc_vr_se($C$6,$C$7,$C$8,$C$9,$C$10,$C$11,BS$18,$C$13)*1.96</f>
        <v>1.7268405366455488</v>
      </c>
      <c r="BT24" s="20" cm="1">
        <f t="array" ref="BT24">lb_call_price_mc_vr_se($C$6,$C$7,$C$8,$C$9,$C$10,$C$11,BT$18,$C$13)*1.96</f>
        <v>1.4759935301937555</v>
      </c>
      <c r="BU24" s="20" cm="1">
        <f t="array" ref="BU24">lb_call_price_mc_vr_se($C$6,$C$7,$C$8,$C$9,$C$10,$C$11,BU$18,$C$13)*1.96</f>
        <v>1.7759963947133055</v>
      </c>
      <c r="BV24" s="20" cm="1">
        <f t="array" ref="BV24">lb_call_price_mc_vr_se($C$6,$C$7,$C$8,$C$9,$C$10,$C$11,BV$18,$C$13)*1.96</f>
        <v>1.6434050139402352</v>
      </c>
      <c r="BW24" s="20" cm="1">
        <f t="array" ref="BW24">lb_call_price_mc_vr_se($C$6,$C$7,$C$8,$C$9,$C$10,$C$11,BW$18,$C$13)*1.96</f>
        <v>2.4367056838611352</v>
      </c>
      <c r="BX24" s="20" cm="1">
        <f t="array" ref="BX24">lb_call_price_mc_vr_se($C$6,$C$7,$C$8,$C$9,$C$10,$C$11,BX$18,$C$13)*1.96</f>
        <v>1.6867679557552431</v>
      </c>
      <c r="BY24" s="20" cm="1">
        <f t="array" ref="BY24">lb_call_price_mc_vr_se($C$6,$C$7,$C$8,$C$9,$C$10,$C$11,BY$18,$C$13)*1.96</f>
        <v>2.031690077442533</v>
      </c>
      <c r="BZ24" s="20" cm="1">
        <f t="array" ref="BZ24">lb_call_price_mc_vr_se($C$6,$C$7,$C$8,$C$9,$C$10,$C$11,BZ$18,$C$13)*1.96</f>
        <v>1.6975495972493604</v>
      </c>
      <c r="CA24" s="20" cm="1">
        <f t="array" ref="CA24">lb_call_price_mc_vr_se($C$6,$C$7,$C$8,$C$9,$C$10,$C$11,CA$18,$C$13)*1.96</f>
        <v>1.7740940105497405</v>
      </c>
      <c r="CB24" s="20" cm="1">
        <f t="array" ref="CB24">lb_call_price_mc_vr_se($C$6,$C$7,$C$8,$C$9,$C$10,$C$11,CB$18,$C$13)*1.96</f>
        <v>2.3177027746376599</v>
      </c>
      <c r="CC24" s="20" cm="1">
        <f t="array" ref="CC24">lb_call_price_mc_vr_se($C$6,$C$7,$C$8,$C$9,$C$10,$C$11,CC$18,$C$13)*1.96</f>
        <v>1.9883521790158161</v>
      </c>
      <c r="CD24" s="20" cm="1">
        <f t="array" ref="CD24">lb_call_price_mc_vr_se($C$6,$C$7,$C$8,$C$9,$C$10,$C$11,CD$18,$C$13)*1.96</f>
        <v>1.5220730942719269</v>
      </c>
      <c r="CE24" s="20" cm="1">
        <f t="array" ref="CE24">lb_call_price_mc_vr_se($C$6,$C$7,$C$8,$C$9,$C$10,$C$11,CE$18,$C$13)*1.96</f>
        <v>2.2572117334727264</v>
      </c>
      <c r="CF24" s="20" cm="1">
        <f t="array" ref="CF24">lb_call_price_mc_vr_se($C$6,$C$7,$C$8,$C$9,$C$10,$C$11,CF$18,$C$13)*1.96</f>
        <v>1.604043562299275</v>
      </c>
      <c r="CG24" s="20" cm="1">
        <f t="array" ref="CG24">lb_call_price_mc_vr_se($C$6,$C$7,$C$8,$C$9,$C$10,$C$11,CG$18,$C$13)*1.96</f>
        <v>1.7774325217692</v>
      </c>
      <c r="CH24" s="20" cm="1">
        <f t="array" ref="CH24">lb_call_price_mc_vr_se($C$6,$C$7,$C$8,$C$9,$C$10,$C$11,CH$18,$C$13)*1.96</f>
        <v>2.0248758155138491</v>
      </c>
      <c r="CI24" s="20" cm="1">
        <f t="array" ref="CI24">lb_call_price_mc_vr_se($C$6,$C$7,$C$8,$C$9,$C$10,$C$11,CI$18,$C$13)*1.96</f>
        <v>1.8730041250607832</v>
      </c>
      <c r="CJ24" s="20" cm="1">
        <f t="array" ref="CJ24">lb_call_price_mc_vr_se($C$6,$C$7,$C$8,$C$9,$C$10,$C$11,CJ$18,$C$13)*1.96</f>
        <v>1.6669228285421001</v>
      </c>
      <c r="CK24" s="20" cm="1">
        <f t="array" ref="CK24">lb_call_price_mc_vr_se($C$6,$C$7,$C$8,$C$9,$C$10,$C$11,CK$18,$C$13)*1.96</f>
        <v>1.8298547833038894</v>
      </c>
      <c r="CL24" s="20" cm="1">
        <f t="array" ref="CL24">lb_call_price_mc_vr_se($C$6,$C$7,$C$8,$C$9,$C$10,$C$11,CL$18,$C$13)*1.96</f>
        <v>1.8068343863831688</v>
      </c>
      <c r="CM24" s="20" cm="1">
        <f t="array" ref="CM24">lb_call_price_mc_vr_se($C$6,$C$7,$C$8,$C$9,$C$10,$C$11,CM$18,$C$13)*1.96</f>
        <v>1.8722568147726413</v>
      </c>
      <c r="CN24" s="20" cm="1">
        <f t="array" ref="CN24">lb_call_price_mc_vr_se($C$6,$C$7,$C$8,$C$9,$C$10,$C$11,CN$18,$C$13)*1.96</f>
        <v>1.6463374762969314</v>
      </c>
      <c r="CO24" s="20" cm="1">
        <f t="array" ref="CO24">lb_call_price_mc_vr_se($C$6,$C$7,$C$8,$C$9,$C$10,$C$11,CO$18,$C$13)*1.96</f>
        <v>1.8193771038234279</v>
      </c>
      <c r="CP24" s="20" cm="1">
        <f t="array" ref="CP24">lb_call_price_mc_vr_se($C$6,$C$7,$C$8,$C$9,$C$10,$C$11,CP$18,$C$13)*1.96</f>
        <v>2.0417661192102745</v>
      </c>
      <c r="CQ24" s="20" cm="1">
        <f t="array" ref="CQ24">lb_call_price_mc_vr_se($C$6,$C$7,$C$8,$C$9,$C$10,$C$11,CQ$18,$C$13)*1.96</f>
        <v>1.4570339981309146</v>
      </c>
      <c r="CR24" s="20" cm="1">
        <f t="array" ref="CR24">lb_call_price_mc_vr_se($C$6,$C$7,$C$8,$C$9,$C$10,$C$11,CR$18,$C$13)*1.96</f>
        <v>1.6328107357040089</v>
      </c>
      <c r="CS24" s="20" cm="1">
        <f t="array" ref="CS24">lb_call_price_mc_vr_se($C$6,$C$7,$C$8,$C$9,$C$10,$C$11,CS$18,$C$13)*1.96</f>
        <v>2.2014052038678509</v>
      </c>
      <c r="CT24" s="20" cm="1">
        <f t="array" ref="CT24">lb_call_price_mc_vr_se($C$6,$C$7,$C$8,$C$9,$C$10,$C$11,CT$18,$C$13)*1.96</f>
        <v>1.6419209871264018</v>
      </c>
      <c r="CU24" s="20" cm="1">
        <f t="array" ref="CU24">lb_call_price_mc_vr_se($C$6,$C$7,$C$8,$C$9,$C$10,$C$11,CU$18,$C$13)*1.96</f>
        <v>1.5637943037723578</v>
      </c>
      <c r="CV24" s="20" cm="1">
        <f t="array" ref="CV24">lb_call_price_mc_vr_se($C$6,$C$7,$C$8,$C$9,$C$10,$C$11,CV$18,$C$13)*1.96</f>
        <v>1.8603957820818142</v>
      </c>
      <c r="CW24" s="20" cm="1">
        <f t="array" ref="CW24">lb_call_price_mc_vr_se($C$6,$C$7,$C$8,$C$9,$C$10,$C$11,CW$18,$C$13)*1.96</f>
        <v>1.5027121296759192</v>
      </c>
      <c r="CX24" s="20" cm="1">
        <f t="array" ref="CX24">lb_call_price_mc_vr_se($C$6,$C$7,$C$8,$C$9,$C$10,$C$11,CX$18,$C$13)*1.96</f>
        <v>1.9961646058689233</v>
      </c>
      <c r="CY24" s="20" cm="1">
        <f t="array" ref="CY24">lb_call_price_mc_vr_se($C$6,$C$7,$C$8,$C$9,$C$10,$C$11,CY$18,$C$13)*1.96</f>
        <v>1.754372247096244</v>
      </c>
      <c r="CZ24" s="20" cm="1">
        <f t="array" ref="CZ24">lb_call_price_mc_vr_se($C$6,$C$7,$C$8,$C$9,$C$10,$C$11,CZ$18,$C$13)*1.96</f>
        <v>1.971786104066424</v>
      </c>
      <c r="DA24" s="20" cm="1">
        <f t="array" ref="DA24">lb_call_price_mc_vr_se($C$6,$C$7,$C$8,$C$9,$C$10,$C$11,DA$18,$C$13)*1.96</f>
        <v>1.6229565563723458</v>
      </c>
      <c r="DB24" s="20" cm="1">
        <f t="array" ref="DB24">lb_call_price_mc_vr_se($C$6,$C$7,$C$8,$C$9,$C$10,$C$11,DB$18,$C$13)*1.96</f>
        <v>1.7528711447171035</v>
      </c>
      <c r="DC24" s="20" cm="1">
        <f t="array" ref="DC24">lb_call_price_mc_vr_se($C$6,$C$7,$C$8,$C$9,$C$10,$C$11,DC$18,$C$13)*1.96</f>
        <v>1.8233212306704707</v>
      </c>
      <c r="DD24" s="20" cm="1">
        <f t="array" ref="DD24">lb_call_price_mc_vr_se($C$6,$C$7,$C$8,$C$9,$C$10,$C$11,DD$18,$C$13)*1.96</f>
        <v>2.2523470070024612</v>
      </c>
      <c r="DE24" s="20" cm="1">
        <f t="array" ref="DE24">lb_call_price_mc_vr_se($C$6,$C$7,$C$8,$C$9,$C$10,$C$11,DE$18,$C$13)*1.96</f>
        <v>1.6305812214313091</v>
      </c>
      <c r="DF24" s="20" cm="1">
        <f t="array" ref="DF24">lb_call_price_mc_vr_se($C$6,$C$7,$C$8,$C$9,$C$10,$C$11,DF$18,$C$13)*1.96</f>
        <v>1.6418917674965194</v>
      </c>
      <c r="DG24" s="20" cm="1">
        <f t="array" ref="DG24">lb_call_price_mc_vr_se($C$6,$C$7,$C$8,$C$9,$C$10,$C$11,DG$18,$C$13)*1.96</f>
        <v>1.7930036910407778</v>
      </c>
      <c r="DH24" s="20" cm="1">
        <f t="array" ref="DH24">lb_call_price_mc_vr_se($C$6,$C$7,$C$8,$C$9,$C$10,$C$11,DH$18,$C$13)*1.96</f>
        <v>1.8010791394850145</v>
      </c>
      <c r="DI24" s="20" cm="1">
        <f t="array" ref="DI24">lb_call_price_mc_vr_se($C$6,$C$7,$C$8,$C$9,$C$10,$C$11,DI$18,$C$13)*1.96</f>
        <v>1.8914362300022309</v>
      </c>
      <c r="DJ24" s="20" cm="1">
        <f t="array" ref="DJ24">lb_call_price_mc_vr_se($C$6,$C$7,$C$8,$C$9,$C$10,$C$11,DJ$18,$C$13)*1.96</f>
        <v>1.9145388756426553</v>
      </c>
    </row>
    <row r="25" spans="1:117" ht="20.55" customHeight="1" thickTop="1" x14ac:dyDescent="0.45">
      <c r="N25" s="20" t="s">
        <v>50</v>
      </c>
      <c r="O25" s="20" cm="1">
        <f t="array" ref="O25">lb_put_price_mc_se($C$6,$C$7,$C$8,$C$9,$C$10,$C$11,O$18,$C$13)*1.96</f>
        <v>1.8135421646161058</v>
      </c>
      <c r="P25" s="20" cm="1">
        <f t="array" ref="P25">lb_put_price_mc_se($C$6,$C$7,$C$8,$C$9,$C$10,$C$11,P$18,$C$13)*1.96</f>
        <v>2.0197961503282524</v>
      </c>
      <c r="Q25" s="20" cm="1">
        <f t="array" ref="Q25">lb_put_price_mc_se($C$6,$C$7,$C$8,$C$9,$C$10,$C$11,Q$18,$C$13)*1.96</f>
        <v>1.9751834487208857</v>
      </c>
      <c r="R25" s="20" cm="1">
        <f t="array" ref="R25">lb_put_price_mc_se($C$6,$C$7,$C$8,$C$9,$C$10,$C$11,R$18,$C$13)*1.96</f>
        <v>1.8767644267052246</v>
      </c>
      <c r="S25" s="20" cm="1">
        <f t="array" ref="S25">lb_put_price_mc_se($C$6,$C$7,$C$8,$C$9,$C$10,$C$11,S$18,$C$13)*1.96</f>
        <v>1.7318110470320911</v>
      </c>
      <c r="T25" s="20" cm="1">
        <f t="array" ref="T25">lb_put_price_mc_se($C$6,$C$7,$C$8,$C$9,$C$10,$C$11,T$18,$C$13)*1.96</f>
        <v>1.9853067101127604</v>
      </c>
      <c r="U25" s="20" cm="1">
        <f t="array" ref="U25">lb_put_price_mc_se($C$6,$C$7,$C$8,$C$9,$C$10,$C$11,U$18,$C$13)*1.96</f>
        <v>1.8665462331378937</v>
      </c>
      <c r="V25" s="20" cm="1">
        <f t="array" ref="V25">lb_put_price_mc_se($C$6,$C$7,$C$8,$C$9,$C$10,$C$11,V$18,$C$13)*1.96</f>
        <v>1.9044955426504626</v>
      </c>
      <c r="W25" s="20" cm="1">
        <f t="array" ref="W25">lb_put_price_mc_se($C$6,$C$7,$C$8,$C$9,$C$10,$C$11,W$18,$C$13)*1.96</f>
        <v>1.8135676565590331</v>
      </c>
      <c r="X25" s="20" cm="1">
        <f t="array" ref="X25">lb_put_price_mc_se($C$6,$C$7,$C$8,$C$9,$C$10,$C$11,X$18,$C$13)*1.96</f>
        <v>1.8726184648853859</v>
      </c>
      <c r="Y25" s="20" cm="1">
        <f t="array" ref="Y25">lb_put_price_mc_se($C$6,$C$7,$C$8,$C$9,$C$10,$C$11,Y$18,$C$13)*1.96</f>
        <v>1.850520293712907</v>
      </c>
      <c r="Z25" s="20" cm="1">
        <f t="array" ref="Z25">lb_put_price_mc_se($C$6,$C$7,$C$8,$C$9,$C$10,$C$11,Z$18,$C$13)*1.96</f>
        <v>1.8680252233802395</v>
      </c>
      <c r="AA25" s="20" cm="1">
        <f t="array" ref="AA25">lb_put_price_mc_se($C$6,$C$7,$C$8,$C$9,$C$10,$C$11,AA$18,$C$13)*1.96</f>
        <v>1.761048493718991</v>
      </c>
      <c r="AB25" s="20" cm="1">
        <f t="array" ref="AB25">lb_put_price_mc_se($C$6,$C$7,$C$8,$C$9,$C$10,$C$11,AB$18,$C$13)*1.96</f>
        <v>1.8920368270792027</v>
      </c>
      <c r="AC25" s="20" cm="1">
        <f t="array" ref="AC25">lb_put_price_mc_se($C$6,$C$7,$C$8,$C$9,$C$10,$C$11,AC$18,$C$13)*1.96</f>
        <v>1.7816826066659879</v>
      </c>
      <c r="AD25" s="20" cm="1">
        <f t="array" ref="AD25">lb_put_price_mc_se($C$6,$C$7,$C$8,$C$9,$C$10,$C$11,AD$18,$C$13)*1.96</f>
        <v>1.6292705383093844</v>
      </c>
      <c r="AE25" s="20" cm="1">
        <f t="array" ref="AE25">lb_put_price_mc_se($C$6,$C$7,$C$8,$C$9,$C$10,$C$11,AE$18,$C$13)*1.96</f>
        <v>1.9007712353521327</v>
      </c>
      <c r="AF25" s="20" cm="1">
        <f t="array" ref="AF25">lb_put_price_mc_se($C$6,$C$7,$C$8,$C$9,$C$10,$C$11,AF$18,$C$13)*1.96</f>
        <v>1.7693333309882224</v>
      </c>
      <c r="AG25" s="20" cm="1">
        <f t="array" ref="AG25">lb_put_price_mc_se($C$6,$C$7,$C$8,$C$9,$C$10,$C$11,AG$18,$C$13)*1.96</f>
        <v>1.7424996948271398</v>
      </c>
      <c r="AH25" s="20" cm="1">
        <f t="array" ref="AH25">lb_put_price_mc_se($C$6,$C$7,$C$8,$C$9,$C$10,$C$11,AH$18,$C$13)*1.96</f>
        <v>1.7059690138142598</v>
      </c>
      <c r="AI25" s="20" cm="1">
        <f t="array" ref="AI25">lb_put_price_mc_se($C$6,$C$7,$C$8,$C$9,$C$10,$C$11,AI$18,$C$13)*1.96</f>
        <v>1.8323310796889554</v>
      </c>
      <c r="AJ25" s="20" cm="1">
        <f t="array" ref="AJ25">lb_put_price_mc_se($C$6,$C$7,$C$8,$C$9,$C$10,$C$11,AJ$18,$C$13)*1.96</f>
        <v>1.7631072455526271</v>
      </c>
      <c r="AK25" s="20" cm="1">
        <f t="array" ref="AK25">lb_put_price_mc_se($C$6,$C$7,$C$8,$C$9,$C$10,$C$11,AK$18,$C$13)*1.96</f>
        <v>1.725356193110458</v>
      </c>
      <c r="AL25" s="20" cm="1">
        <f t="array" ref="AL25">lb_put_price_mc_se($C$6,$C$7,$C$8,$C$9,$C$10,$C$11,AL$18,$C$13)*1.96</f>
        <v>1.7199793381858655</v>
      </c>
      <c r="AM25" s="20" cm="1">
        <f t="array" ref="AM25">lb_put_price_mc_se($C$6,$C$7,$C$8,$C$9,$C$10,$C$11,AM$18,$C$13)*1.96</f>
        <v>1.8545186841033896</v>
      </c>
      <c r="AN25" s="20" cm="1">
        <f t="array" ref="AN25">lb_put_price_mc_se($C$6,$C$7,$C$8,$C$9,$C$10,$C$11,AN$18,$C$13)*1.96</f>
        <v>1.7575027746711218</v>
      </c>
      <c r="AO25" s="20" cm="1">
        <f t="array" ref="AO25">lb_put_price_mc_se($C$6,$C$7,$C$8,$C$9,$C$10,$C$11,AO$18,$C$13)*1.96</f>
        <v>1.892857395739971</v>
      </c>
      <c r="AP25" s="20" cm="1">
        <f t="array" ref="AP25">lb_put_price_mc_se($C$6,$C$7,$C$8,$C$9,$C$10,$C$11,AP$18,$C$13)*1.96</f>
        <v>1.6981825423178105</v>
      </c>
      <c r="AQ25" s="20" cm="1">
        <f t="array" ref="AQ25">lb_put_price_mc_se($C$6,$C$7,$C$8,$C$9,$C$10,$C$11,AQ$18,$C$13)*1.96</f>
        <v>1.7037102999797868</v>
      </c>
      <c r="AR25" s="20" cm="1">
        <f t="array" ref="AR25">lb_put_price_mc_se($C$6,$C$7,$C$8,$C$9,$C$10,$C$11,AR$18,$C$13)*1.96</f>
        <v>1.7651720837876359</v>
      </c>
      <c r="AS25" s="20" cm="1">
        <f t="array" ref="AS25">lb_put_price_mc_se($C$6,$C$7,$C$8,$C$9,$C$10,$C$11,AS$18,$C$13)*1.96</f>
        <v>1.715002028540624</v>
      </c>
      <c r="AT25" s="20" cm="1">
        <f t="array" ref="AT25">lb_put_price_mc_se($C$6,$C$7,$C$8,$C$9,$C$10,$C$11,AT$18,$C$13)*1.96</f>
        <v>1.8970616105932023</v>
      </c>
      <c r="AU25" s="20" cm="1">
        <f t="array" ref="AU25">lb_put_price_mc_se($C$6,$C$7,$C$8,$C$9,$C$10,$C$11,AU$18,$C$13)*1.96</f>
        <v>1.7999244122534499</v>
      </c>
      <c r="AV25" s="20" cm="1">
        <f t="array" ref="AV25">lb_put_price_mc_se($C$6,$C$7,$C$8,$C$9,$C$10,$C$11,AV$18,$C$13)*1.96</f>
        <v>1.936957612726012</v>
      </c>
      <c r="AW25" s="20" cm="1">
        <f t="array" ref="AW25">lb_put_price_mc_se($C$6,$C$7,$C$8,$C$9,$C$10,$C$11,AW$18,$C$13)*1.96</f>
        <v>1.7533761027877157</v>
      </c>
      <c r="AX25" s="20" cm="1">
        <f t="array" ref="AX25">lb_put_price_mc_se($C$6,$C$7,$C$8,$C$9,$C$10,$C$11,AX$18,$C$13)*1.96</f>
        <v>1.8147414349825548</v>
      </c>
      <c r="AY25" s="20" cm="1">
        <f t="array" ref="AY25">lb_put_price_mc_se($C$6,$C$7,$C$8,$C$9,$C$10,$C$11,AY$18,$C$13)*1.96</f>
        <v>1.9012012789107491</v>
      </c>
      <c r="AZ25" s="20" cm="1">
        <f t="array" ref="AZ25">lb_put_price_mc_se($C$6,$C$7,$C$8,$C$9,$C$10,$C$11,AZ$18,$C$13)*1.96</f>
        <v>1.6983441974693956</v>
      </c>
      <c r="BA25" s="20" cm="1">
        <f t="array" ref="BA25">lb_put_price_mc_se($C$6,$C$7,$C$8,$C$9,$C$10,$C$11,BA$18,$C$13)*1.96</f>
        <v>1.7576487668514491</v>
      </c>
      <c r="BB25" s="20" cm="1">
        <f t="array" ref="BB25">lb_put_price_mc_se($C$6,$C$7,$C$8,$C$9,$C$10,$C$11,BB$18,$C$13)*1.96</f>
        <v>1.8541104811359568</v>
      </c>
      <c r="BC25" s="20" cm="1">
        <f t="array" ref="BC25">lb_put_price_mc_se($C$6,$C$7,$C$8,$C$9,$C$10,$C$11,BC$18,$C$13)*1.96</f>
        <v>1.8276074049845907</v>
      </c>
      <c r="BD25" s="20" cm="1">
        <f t="array" ref="BD25">lb_put_price_mc_se($C$6,$C$7,$C$8,$C$9,$C$10,$C$11,BD$18,$C$13)*1.96</f>
        <v>1.7802968083075512</v>
      </c>
      <c r="BE25" s="20" cm="1">
        <f t="array" ref="BE25">lb_put_price_mc_se($C$6,$C$7,$C$8,$C$9,$C$10,$C$11,BE$18,$C$13)*1.96</f>
        <v>1.8984820612956816</v>
      </c>
      <c r="BF25" s="20" cm="1">
        <f t="array" ref="BF25">lb_put_price_mc_se($C$6,$C$7,$C$8,$C$9,$C$10,$C$11,BF$18,$C$13)*1.96</f>
        <v>1.8754460624979929</v>
      </c>
      <c r="BG25" s="20" cm="1">
        <f t="array" ref="BG25">lb_put_price_mc_se($C$6,$C$7,$C$8,$C$9,$C$10,$C$11,BG$18,$C$13)*1.96</f>
        <v>2.077487138840151</v>
      </c>
      <c r="BH25" s="20" cm="1">
        <f t="array" ref="BH25">lb_put_price_mc_se($C$6,$C$7,$C$8,$C$9,$C$10,$C$11,BH$18,$C$13)*1.96</f>
        <v>1.969215118049219</v>
      </c>
      <c r="BI25" s="20" cm="1">
        <f t="array" ref="BI25">lb_put_price_mc_se($C$6,$C$7,$C$8,$C$9,$C$10,$C$11,BI$18,$C$13)*1.96</f>
        <v>1.9054326642586059</v>
      </c>
      <c r="BJ25" s="20" cm="1">
        <f t="array" ref="BJ25">lb_put_price_mc_se($C$6,$C$7,$C$8,$C$9,$C$10,$C$11,BJ$18,$C$13)*1.96</f>
        <v>1.9489517230749267</v>
      </c>
      <c r="BK25" s="20" cm="1">
        <f t="array" ref="BK25">lb_put_price_mc_se($C$6,$C$7,$C$8,$C$9,$C$10,$C$11,BK$18,$C$13)*1.96</f>
        <v>1.8294150719637681</v>
      </c>
      <c r="BL25" s="20" cm="1">
        <f t="array" ref="BL25">lb_put_price_mc_se($C$6,$C$7,$C$8,$C$9,$C$10,$C$11,BL$18,$C$13)*1.96</f>
        <v>1.7699697163302814</v>
      </c>
      <c r="BM25" s="20" cm="1">
        <f t="array" ref="BM25">lb_put_price_mc_se($C$6,$C$7,$C$8,$C$9,$C$10,$C$11,BM$18,$C$13)*1.96</f>
        <v>2.009501138473162</v>
      </c>
      <c r="BN25" s="20" cm="1">
        <f t="array" ref="BN25">lb_put_price_mc_se($C$6,$C$7,$C$8,$C$9,$C$10,$C$11,BN$18,$C$13)*1.96</f>
        <v>1.686005532871321</v>
      </c>
      <c r="BO25" s="20" cm="1">
        <f t="array" ref="BO25">lb_put_price_mc_se($C$6,$C$7,$C$8,$C$9,$C$10,$C$11,BO$18,$C$13)*1.96</f>
        <v>1.8705361850918476</v>
      </c>
      <c r="BP25" s="20" cm="1">
        <f t="array" ref="BP25">lb_put_price_mc_se($C$6,$C$7,$C$8,$C$9,$C$10,$C$11,BP$18,$C$13)*1.96</f>
        <v>1.8765257183695245</v>
      </c>
      <c r="BQ25" s="20" cm="1">
        <f t="array" ref="BQ25">lb_put_price_mc_se($C$6,$C$7,$C$8,$C$9,$C$10,$C$11,BQ$18,$C$13)*1.96</f>
        <v>1.8422125460185104</v>
      </c>
      <c r="BR25" s="20" cm="1">
        <f t="array" ref="BR25">lb_put_price_mc_se($C$6,$C$7,$C$8,$C$9,$C$10,$C$11,BR$18,$C$13)*1.96</f>
        <v>1.8939393203112636</v>
      </c>
      <c r="BS25" s="20" cm="1">
        <f t="array" ref="BS25">lb_put_price_mc_se($C$6,$C$7,$C$8,$C$9,$C$10,$C$11,BS$18,$C$13)*1.96</f>
        <v>1.9303424074431264</v>
      </c>
      <c r="BT25" s="20" cm="1">
        <f t="array" ref="BT25">lb_put_price_mc_se($C$6,$C$7,$C$8,$C$9,$C$10,$C$11,BT$18,$C$13)*1.96</f>
        <v>1.9639610600523112</v>
      </c>
      <c r="BU25" s="20" cm="1">
        <f t="array" ref="BU25">lb_put_price_mc_se($C$6,$C$7,$C$8,$C$9,$C$10,$C$11,BU$18,$C$13)*1.96</f>
        <v>1.9801722510168811</v>
      </c>
      <c r="BV25" s="20" cm="1">
        <f t="array" ref="BV25">lb_put_price_mc_se($C$6,$C$7,$C$8,$C$9,$C$10,$C$11,BV$18,$C$13)*1.96</f>
        <v>2.0192180682835978</v>
      </c>
      <c r="BW25" s="20" cm="1">
        <f t="array" ref="BW25">lb_put_price_mc_se($C$6,$C$7,$C$8,$C$9,$C$10,$C$11,BW$18,$C$13)*1.96</f>
        <v>1.9575746977478861</v>
      </c>
      <c r="BX25" s="20" cm="1">
        <f t="array" ref="BX25">lb_put_price_mc_se($C$6,$C$7,$C$8,$C$9,$C$10,$C$11,BX$18,$C$13)*1.96</f>
        <v>2.0100137455396401</v>
      </c>
      <c r="BY25" s="20" cm="1">
        <f t="array" ref="BY25">lb_put_price_mc_se($C$6,$C$7,$C$8,$C$9,$C$10,$C$11,BY$18,$C$13)*1.96</f>
        <v>1.9433253089844513</v>
      </c>
      <c r="BZ25" s="20" cm="1">
        <f t="array" ref="BZ25">lb_put_price_mc_se($C$6,$C$7,$C$8,$C$9,$C$10,$C$11,BZ$18,$C$13)*1.96</f>
        <v>1.9927739056593334</v>
      </c>
      <c r="CA25" s="20" cm="1">
        <f t="array" ref="CA25">lb_put_price_mc_se($C$6,$C$7,$C$8,$C$9,$C$10,$C$11,CA$18,$C$13)*1.96</f>
        <v>1.9906155968300741</v>
      </c>
      <c r="CB25" s="20" cm="1">
        <f t="array" ref="CB25">lb_put_price_mc_se($C$6,$C$7,$C$8,$C$9,$C$10,$C$11,CB$18,$C$13)*1.96</f>
        <v>1.9719516800687003</v>
      </c>
      <c r="CC25" s="20" cm="1">
        <f t="array" ref="CC25">lb_put_price_mc_se($C$6,$C$7,$C$8,$C$9,$C$10,$C$11,CC$18,$C$13)*1.96</f>
        <v>1.9962544761498768</v>
      </c>
      <c r="CD25" s="20" cm="1">
        <f t="array" ref="CD25">lb_put_price_mc_se($C$6,$C$7,$C$8,$C$9,$C$10,$C$11,CD$18,$C$13)*1.96</f>
        <v>1.9451741187984799</v>
      </c>
      <c r="CE25" s="20" cm="1">
        <f t="array" ref="CE25">lb_put_price_mc_se($C$6,$C$7,$C$8,$C$9,$C$10,$C$11,CE$18,$C$13)*1.96</f>
        <v>1.7722232613765423</v>
      </c>
      <c r="CF25" s="20" cm="1">
        <f t="array" ref="CF25">lb_put_price_mc_se($C$6,$C$7,$C$8,$C$9,$C$10,$C$11,CF$18,$C$13)*1.96</f>
        <v>1.8582358677159594</v>
      </c>
      <c r="CG25" s="20" cm="1">
        <f t="array" ref="CG25">lb_put_price_mc_se($C$6,$C$7,$C$8,$C$9,$C$10,$C$11,CG$18,$C$13)*1.96</f>
        <v>2.0941471132016249</v>
      </c>
      <c r="CH25" s="20" cm="1">
        <f t="array" ref="CH25">lb_put_price_mc_se($C$6,$C$7,$C$8,$C$9,$C$10,$C$11,CH$18,$C$13)*1.96</f>
        <v>1.8240898822844496</v>
      </c>
      <c r="CI25" s="20" cm="1">
        <f t="array" ref="CI25">lb_put_price_mc_se($C$6,$C$7,$C$8,$C$9,$C$10,$C$11,CI$18,$C$13)*1.96</f>
        <v>1.985163113674999</v>
      </c>
      <c r="CJ25" s="20" cm="1">
        <f t="array" ref="CJ25">lb_put_price_mc_se($C$6,$C$7,$C$8,$C$9,$C$10,$C$11,CJ$18,$C$13)*1.96</f>
        <v>2.0804725578841592</v>
      </c>
      <c r="CK25" s="20" cm="1">
        <f t="array" ref="CK25">lb_put_price_mc_se($C$6,$C$7,$C$8,$C$9,$C$10,$C$11,CK$18,$C$13)*1.96</f>
        <v>1.9866972921781814</v>
      </c>
      <c r="CL25" s="20" cm="1">
        <f t="array" ref="CL25">lb_put_price_mc_se($C$6,$C$7,$C$8,$C$9,$C$10,$C$11,CL$18,$C$13)*1.96</f>
        <v>1.9762392837282725</v>
      </c>
      <c r="CM25" s="20" cm="1">
        <f t="array" ref="CM25">lb_put_price_mc_se($C$6,$C$7,$C$8,$C$9,$C$10,$C$11,CM$18,$C$13)*1.96</f>
        <v>1.9782591000694136</v>
      </c>
      <c r="CN25" s="20" cm="1">
        <f t="array" ref="CN25">lb_put_price_mc_se($C$6,$C$7,$C$8,$C$9,$C$10,$C$11,CN$18,$C$13)*1.96</f>
        <v>1.9827382878315625</v>
      </c>
      <c r="CO25" s="20" cm="1">
        <f t="array" ref="CO25">lb_put_price_mc_se($C$6,$C$7,$C$8,$C$9,$C$10,$C$11,CO$18,$C$13)*1.96</f>
        <v>2.0040260717436404</v>
      </c>
      <c r="CP25" s="20" cm="1">
        <f t="array" ref="CP25">lb_put_price_mc_se($C$6,$C$7,$C$8,$C$9,$C$10,$C$11,CP$18,$C$13)*1.96</f>
        <v>2.0789001058925782</v>
      </c>
      <c r="CQ25" s="20" cm="1">
        <f t="array" ref="CQ25">lb_put_price_mc_se($C$6,$C$7,$C$8,$C$9,$C$10,$C$11,CQ$18,$C$13)*1.96</f>
        <v>1.996062878832255</v>
      </c>
      <c r="CR25" s="20" cm="1">
        <f t="array" ref="CR25">lb_put_price_mc_se($C$6,$C$7,$C$8,$C$9,$C$10,$C$11,CR$18,$C$13)*1.96</f>
        <v>2.0070838857924831</v>
      </c>
      <c r="CS25" s="20" cm="1">
        <f t="array" ref="CS25">lb_put_price_mc_se($C$6,$C$7,$C$8,$C$9,$C$10,$C$11,CS$18,$C$13)*1.96</f>
        <v>2.075261020061574</v>
      </c>
      <c r="CT25" s="20" cm="1">
        <f t="array" ref="CT25">lb_put_price_mc_se($C$6,$C$7,$C$8,$C$9,$C$10,$C$11,CT$18,$C$13)*1.96</f>
        <v>1.8920109305780366</v>
      </c>
      <c r="CU25" s="20" cm="1">
        <f t="array" ref="CU25">lb_put_price_mc_se($C$6,$C$7,$C$8,$C$9,$C$10,$C$11,CU$18,$C$13)*1.96</f>
        <v>1.7957581199302846</v>
      </c>
      <c r="CV25" s="20" cm="1">
        <f t="array" ref="CV25">lb_put_price_mc_se($C$6,$C$7,$C$8,$C$9,$C$10,$C$11,CV$18,$C$13)*1.96</f>
        <v>2.0451628724115642</v>
      </c>
      <c r="CW25" s="20" cm="1">
        <f t="array" ref="CW25">lb_put_price_mc_se($C$6,$C$7,$C$8,$C$9,$C$10,$C$11,CW$18,$C$13)*1.96</f>
        <v>1.9023028673007143</v>
      </c>
      <c r="CX25" s="20" cm="1">
        <f t="array" ref="CX25">lb_put_price_mc_se($C$6,$C$7,$C$8,$C$9,$C$10,$C$11,CX$18,$C$13)*1.96</f>
        <v>1.9501715637647703</v>
      </c>
      <c r="CY25" s="20" cm="1">
        <f t="array" ref="CY25">lb_put_price_mc_se($C$6,$C$7,$C$8,$C$9,$C$10,$C$11,CY$18,$C$13)*1.96</f>
        <v>1.9864222205840265</v>
      </c>
      <c r="CZ25" s="20" cm="1">
        <f t="array" ref="CZ25">lb_put_price_mc_se($C$6,$C$7,$C$8,$C$9,$C$10,$C$11,CZ$18,$C$13)*1.96</f>
        <v>1.8635376629069846</v>
      </c>
      <c r="DA25" s="20" cm="1">
        <f t="array" ref="DA25">lb_put_price_mc_se($C$6,$C$7,$C$8,$C$9,$C$10,$C$11,DA$18,$C$13)*1.96</f>
        <v>2.0461252725324002</v>
      </c>
      <c r="DB25" s="20" cm="1">
        <f t="array" ref="DB25">lb_put_price_mc_se($C$6,$C$7,$C$8,$C$9,$C$10,$C$11,DB$18,$C$13)*1.96</f>
        <v>1.9912552526902052</v>
      </c>
      <c r="DC25" s="20" cm="1">
        <f t="array" ref="DC25">lb_put_price_mc_se($C$6,$C$7,$C$8,$C$9,$C$10,$C$11,DC$18,$C$13)*1.96</f>
        <v>2.0174511485578859</v>
      </c>
      <c r="DD25" s="20" cm="1">
        <f t="array" ref="DD25">lb_put_price_mc_se($C$6,$C$7,$C$8,$C$9,$C$10,$C$11,DD$18,$C$13)*1.96</f>
        <v>1.9673527657788372</v>
      </c>
      <c r="DE25" s="20" cm="1">
        <f t="array" ref="DE25">lb_put_price_mc_se($C$6,$C$7,$C$8,$C$9,$C$10,$C$11,DE$18,$C$13)*1.96</f>
        <v>1.920179360780254</v>
      </c>
      <c r="DF25" s="20" cm="1">
        <f t="array" ref="DF25">lb_put_price_mc_se($C$6,$C$7,$C$8,$C$9,$C$10,$C$11,DF$18,$C$13)*1.96</f>
        <v>2.0153948550808769</v>
      </c>
      <c r="DG25" s="20" cm="1">
        <f t="array" ref="DG25">lb_put_price_mc_se($C$6,$C$7,$C$8,$C$9,$C$10,$C$11,DG$18,$C$13)*1.96</f>
        <v>2.0682381084258448</v>
      </c>
      <c r="DH25" s="20" cm="1">
        <f t="array" ref="DH25">lb_put_price_mc_se($C$6,$C$7,$C$8,$C$9,$C$10,$C$11,DH$18,$C$13)*1.96</f>
        <v>1.9796485183107853</v>
      </c>
      <c r="DI25" s="20" cm="1">
        <f t="array" ref="DI25">lb_put_price_mc_se($C$6,$C$7,$C$8,$C$9,$C$10,$C$11,DI$18,$C$13)*1.96</f>
        <v>1.9377038956125183</v>
      </c>
      <c r="DJ25" s="20" cm="1">
        <f t="array" ref="DJ25">lb_put_price_mc_se($C$6,$C$7,$C$8,$C$9,$C$10,$C$11,DJ$18,$C$13)*1.96</f>
        <v>1.9395487284789088</v>
      </c>
    </row>
    <row r="26" spans="1:117" ht="46.9" x14ac:dyDescent="0.45">
      <c r="A26" s="5" t="s">
        <v>34</v>
      </c>
      <c r="N26" s="20" t="s">
        <v>51</v>
      </c>
      <c r="O26" s="20" cm="1">
        <f t="array" ref="O26">lb_put_price_mc_vr_se($C$6,$C$7,$C$8,$C$9,$C$10,$C$11,O$18,$C$13)*1.96</f>
        <v>1.5104815964998424</v>
      </c>
      <c r="P26" s="20" cm="1">
        <f t="array" ref="P26">lb_put_price_mc_vr_se($C$6,$C$7,$C$8,$C$9,$C$10,$C$11,P$18,$C$13)*1.96</f>
        <v>1.2491598829375234</v>
      </c>
      <c r="Q26" s="20" cm="1">
        <f t="array" ref="Q26">lb_put_price_mc_vr_se($C$6,$C$7,$C$8,$C$9,$C$10,$C$11,Q$18,$C$13)*1.96</f>
        <v>1.2537762967454695</v>
      </c>
      <c r="R26" s="20" cm="1">
        <f t="array" ref="R26">lb_put_price_mc_vr_se($C$6,$C$7,$C$8,$C$9,$C$10,$C$11,R$18,$C$13)*1.96</f>
        <v>1.1891603911761761</v>
      </c>
      <c r="S26" s="20" cm="1">
        <f t="array" ref="S26">lb_put_price_mc_vr_se($C$6,$C$7,$C$8,$C$9,$C$10,$C$11,S$18,$C$13)*1.96</f>
        <v>1.2807652975139432</v>
      </c>
      <c r="T26" s="20" cm="1">
        <f t="array" ref="T26">lb_put_price_mc_vr_se($C$6,$C$7,$C$8,$C$9,$C$10,$C$11,T$18,$C$13)*1.96</f>
        <v>1.3362248472202034</v>
      </c>
      <c r="U26" s="20" cm="1">
        <f t="array" ref="U26">lb_put_price_mc_vr_se($C$6,$C$7,$C$8,$C$9,$C$10,$C$11,U$18,$C$13)*1.96</f>
        <v>1.2138116075957699</v>
      </c>
      <c r="V26" s="20" cm="1">
        <f t="array" ref="V26">lb_put_price_mc_vr_se($C$6,$C$7,$C$8,$C$9,$C$10,$C$11,V$18,$C$13)*1.96</f>
        <v>1.2780009310129314</v>
      </c>
      <c r="W26" s="20" cm="1">
        <f t="array" ref="W26">lb_put_price_mc_vr_se($C$6,$C$7,$C$8,$C$9,$C$10,$C$11,W$18,$C$13)*1.96</f>
        <v>1.2464542816501389</v>
      </c>
      <c r="X26" s="20" cm="1">
        <f t="array" ref="X26">lb_put_price_mc_vr_se($C$6,$C$7,$C$8,$C$9,$C$10,$C$11,X$18,$C$13)*1.96</f>
        <v>1.1929288819907764</v>
      </c>
      <c r="Y26" s="20" cm="1">
        <f t="array" ref="Y26">lb_put_price_mc_vr_se($C$6,$C$7,$C$8,$C$9,$C$10,$C$11,Y$18,$C$13)*1.96</f>
        <v>1.380857533668608</v>
      </c>
      <c r="Z26" s="20" cm="1">
        <f t="array" ref="Z26">lb_put_price_mc_vr_se($C$6,$C$7,$C$8,$C$9,$C$10,$C$11,Z$18,$C$13)*1.96</f>
        <v>1.1553116396697496</v>
      </c>
      <c r="AA26" s="20" cm="1">
        <f t="array" ref="AA26">lb_put_price_mc_vr_se($C$6,$C$7,$C$8,$C$9,$C$10,$C$11,AA$18,$C$13)*1.96</f>
        <v>1.2245001647177252</v>
      </c>
      <c r="AB26" s="20" cm="1">
        <f t="array" ref="AB26">lb_put_price_mc_vr_se($C$6,$C$7,$C$8,$C$9,$C$10,$C$11,AB$18,$C$13)*1.96</f>
        <v>1.1666895570266855</v>
      </c>
      <c r="AC26" s="20" cm="1">
        <f t="array" ref="AC26">lb_put_price_mc_vr_se($C$6,$C$7,$C$8,$C$9,$C$10,$C$11,AC$18,$C$13)*1.96</f>
        <v>1.1391164257336521</v>
      </c>
      <c r="AD26" s="20" cm="1">
        <f t="array" ref="AD26">lb_put_price_mc_vr_se($C$6,$C$7,$C$8,$C$9,$C$10,$C$11,AD$18,$C$13)*1.96</f>
        <v>1.2137292292102126</v>
      </c>
      <c r="AE26" s="20" cm="1">
        <f t="array" ref="AE26">lb_put_price_mc_vr_se($C$6,$C$7,$C$8,$C$9,$C$10,$C$11,AE$18,$C$13)*1.96</f>
        <v>1.1493770498207114</v>
      </c>
      <c r="AF26" s="20" cm="1">
        <f t="array" ref="AF26">lb_put_price_mc_vr_se($C$6,$C$7,$C$8,$C$9,$C$10,$C$11,AF$18,$C$13)*1.96</f>
        <v>0.93799414926091584</v>
      </c>
      <c r="AG26" s="20" cm="1">
        <f t="array" ref="AG26">lb_put_price_mc_vr_se($C$6,$C$7,$C$8,$C$9,$C$10,$C$11,AG$18,$C$13)*1.96</f>
        <v>1.0733379629538513</v>
      </c>
      <c r="AH26" s="20" cm="1">
        <f t="array" ref="AH26">lb_put_price_mc_vr_se($C$6,$C$7,$C$8,$C$9,$C$10,$C$11,AH$18,$C$13)*1.96</f>
        <v>1.0267631133515722</v>
      </c>
      <c r="AI26" s="20" cm="1">
        <f t="array" ref="AI26">lb_put_price_mc_vr_se($C$6,$C$7,$C$8,$C$9,$C$10,$C$11,AI$18,$C$13)*1.96</f>
        <v>1.0416758427560922</v>
      </c>
      <c r="AJ26" s="20" cm="1">
        <f t="array" ref="AJ26">lb_put_price_mc_vr_se($C$6,$C$7,$C$8,$C$9,$C$10,$C$11,AJ$18,$C$13)*1.96</f>
        <v>1.1649189882901139</v>
      </c>
      <c r="AK26" s="20" cm="1">
        <f t="array" ref="AK26">lb_put_price_mc_vr_se($C$6,$C$7,$C$8,$C$9,$C$10,$C$11,AK$18,$C$13)*1.96</f>
        <v>1.0049461889432754</v>
      </c>
      <c r="AL26" s="20" cm="1">
        <f t="array" ref="AL26">lb_put_price_mc_vr_se($C$6,$C$7,$C$8,$C$9,$C$10,$C$11,AL$18,$C$13)*1.96</f>
        <v>1.1080616141294681</v>
      </c>
      <c r="AM26" s="20" cm="1">
        <f t="array" ref="AM26">lb_put_price_mc_vr_se($C$6,$C$7,$C$8,$C$9,$C$10,$C$11,AM$18,$C$13)*1.96</f>
        <v>1.1121777323244126</v>
      </c>
      <c r="AN26" s="20" cm="1">
        <f t="array" ref="AN26">lb_put_price_mc_vr_se($C$6,$C$7,$C$8,$C$9,$C$10,$C$11,AN$18,$C$13)*1.96</f>
        <v>1.0787278861568868</v>
      </c>
      <c r="AO26" s="20" cm="1">
        <f t="array" ref="AO26">lb_put_price_mc_vr_se($C$6,$C$7,$C$8,$C$9,$C$10,$C$11,AO$18,$C$13)*1.96</f>
        <v>1.0061253880162047</v>
      </c>
      <c r="AP26" s="20" cm="1">
        <f t="array" ref="AP26">lb_put_price_mc_vr_se($C$6,$C$7,$C$8,$C$9,$C$10,$C$11,AP$18,$C$13)*1.96</f>
        <v>0.99770975791654959</v>
      </c>
      <c r="AQ26" s="20" cm="1">
        <f t="array" ref="AQ26">lb_put_price_mc_vr_se($C$6,$C$7,$C$8,$C$9,$C$10,$C$11,AQ$18,$C$13)*1.96</f>
        <v>0.94935338942128866</v>
      </c>
      <c r="AR26" s="20" cm="1">
        <f t="array" ref="AR26">lb_put_price_mc_vr_se($C$6,$C$7,$C$8,$C$9,$C$10,$C$11,AR$18,$C$13)*1.96</f>
        <v>1.0558917122456191</v>
      </c>
      <c r="AS26" s="20" cm="1">
        <f t="array" ref="AS26">lb_put_price_mc_vr_se($C$6,$C$7,$C$8,$C$9,$C$10,$C$11,AS$18,$C$13)*1.96</f>
        <v>1.143954876107617</v>
      </c>
      <c r="AT26" s="20" cm="1">
        <f t="array" ref="AT26">lb_put_price_mc_vr_se($C$6,$C$7,$C$8,$C$9,$C$10,$C$11,AT$18,$C$13)*1.96</f>
        <v>1.1780505267313344</v>
      </c>
      <c r="AU26" s="20" cm="1">
        <f t="array" ref="AU26">lb_put_price_mc_vr_se($C$6,$C$7,$C$8,$C$9,$C$10,$C$11,AU$18,$C$13)*1.96</f>
        <v>1.303174413582322</v>
      </c>
      <c r="AV26" s="20" cm="1">
        <f t="array" ref="AV26">lb_put_price_mc_vr_se($C$6,$C$7,$C$8,$C$9,$C$10,$C$11,AV$18,$C$13)*1.96</f>
        <v>1.2698301212206782</v>
      </c>
      <c r="AW26" s="20" cm="1">
        <f t="array" ref="AW26">lb_put_price_mc_vr_se($C$6,$C$7,$C$8,$C$9,$C$10,$C$11,AW$18,$C$13)*1.96</f>
        <v>1.1419379125305367</v>
      </c>
      <c r="AX26" s="20" cm="1">
        <f t="array" ref="AX26">lb_put_price_mc_vr_se($C$6,$C$7,$C$8,$C$9,$C$10,$C$11,AX$18,$C$13)*1.96</f>
        <v>1.2816797447934856</v>
      </c>
      <c r="AY26" s="20" cm="1">
        <f t="array" ref="AY26">lb_put_price_mc_vr_se($C$6,$C$7,$C$8,$C$9,$C$10,$C$11,AY$18,$C$13)*1.96</f>
        <v>1.361660945759527</v>
      </c>
      <c r="AZ26" s="20" cm="1">
        <f t="array" ref="AZ26">lb_put_price_mc_vr_se($C$6,$C$7,$C$8,$C$9,$C$10,$C$11,AZ$18,$C$13)*1.96</f>
        <v>1.1514782245027684</v>
      </c>
      <c r="BA26" s="20" cm="1">
        <f t="array" ref="BA26">lb_put_price_mc_vr_se($C$6,$C$7,$C$8,$C$9,$C$10,$C$11,BA$18,$C$13)*1.96</f>
        <v>1.1963550092573765</v>
      </c>
      <c r="BB26" s="20" cm="1">
        <f t="array" ref="BB26">lb_put_price_mc_vr_se($C$6,$C$7,$C$8,$C$9,$C$10,$C$11,BB$18,$C$13)*1.96</f>
        <v>1.2245970821437597</v>
      </c>
      <c r="BC26" s="20" cm="1">
        <f t="array" ref="BC26">lb_put_price_mc_vr_se($C$6,$C$7,$C$8,$C$9,$C$10,$C$11,BC$18,$C$13)*1.96</f>
        <v>1.2489662213088844</v>
      </c>
      <c r="BD26" s="20" cm="1">
        <f t="array" ref="BD26">lb_put_price_mc_vr_se($C$6,$C$7,$C$8,$C$9,$C$10,$C$11,BD$18,$C$13)*1.96</f>
        <v>1.2464017076212546</v>
      </c>
      <c r="BE26" s="20" cm="1">
        <f t="array" ref="BE26">lb_put_price_mc_vr_se($C$6,$C$7,$C$8,$C$9,$C$10,$C$11,BE$18,$C$13)*1.96</f>
        <v>1.1972389120312219</v>
      </c>
      <c r="BF26" s="20" cm="1">
        <f t="array" ref="BF26">lb_put_price_mc_vr_se($C$6,$C$7,$C$8,$C$9,$C$10,$C$11,BF$18,$C$13)*1.96</f>
        <v>1.2457616799611964</v>
      </c>
      <c r="BG26" s="20" cm="1">
        <f t="array" ref="BG26">lb_put_price_mc_vr_se($C$6,$C$7,$C$8,$C$9,$C$10,$C$11,BG$18,$C$13)*1.96</f>
        <v>1.3083854618517339</v>
      </c>
      <c r="BH26" s="20" cm="1">
        <f t="array" ref="BH26">lb_put_price_mc_vr_se($C$6,$C$7,$C$8,$C$9,$C$10,$C$11,BH$18,$C$13)*1.96</f>
        <v>1.3997522051639357</v>
      </c>
      <c r="BI26" s="20" cm="1">
        <f t="array" ref="BI26">lb_put_price_mc_vr_se($C$6,$C$7,$C$8,$C$9,$C$10,$C$11,BI$18,$C$13)*1.96</f>
        <v>1.3027966676563898</v>
      </c>
      <c r="BJ26" s="20" cm="1">
        <f t="array" ref="BJ26">lb_put_price_mc_vr_se($C$6,$C$7,$C$8,$C$9,$C$10,$C$11,BJ$18,$C$13)*1.96</f>
        <v>1.1492942299537707</v>
      </c>
      <c r="BK26" s="20" cm="1">
        <f t="array" ref="BK26">lb_put_price_mc_vr_se($C$6,$C$7,$C$8,$C$9,$C$10,$C$11,BK$18,$C$13)*1.96</f>
        <v>1.1910845328155466</v>
      </c>
      <c r="BL26" s="20" cm="1">
        <f t="array" ref="BL26">lb_put_price_mc_vr_se($C$6,$C$7,$C$8,$C$9,$C$10,$C$11,BL$18,$C$13)*1.96</f>
        <v>1.1472099780788845</v>
      </c>
      <c r="BM26" s="20" cm="1">
        <f t="array" ref="BM26">lb_put_price_mc_vr_se($C$6,$C$7,$C$8,$C$9,$C$10,$C$11,BM$18,$C$13)*1.96</f>
        <v>1.0788707997610354</v>
      </c>
      <c r="BN26" s="20" cm="1">
        <f t="array" ref="BN26">lb_put_price_mc_vr_se($C$6,$C$7,$C$8,$C$9,$C$10,$C$11,BN$18,$C$13)*1.96</f>
        <v>1.2736988399390805</v>
      </c>
      <c r="BO26" s="20" cm="1">
        <f t="array" ref="BO26">lb_put_price_mc_vr_se($C$6,$C$7,$C$8,$C$9,$C$10,$C$11,BO$18,$C$13)*1.96</f>
        <v>1.2731934144390602</v>
      </c>
      <c r="BP26" s="20" cm="1">
        <f t="array" ref="BP26">lb_put_price_mc_vr_se($C$6,$C$7,$C$8,$C$9,$C$10,$C$11,BP$18,$C$13)*1.96</f>
        <v>1.1889636496033027</v>
      </c>
      <c r="BQ26" s="20" cm="1">
        <f t="array" ref="BQ26">lb_put_price_mc_vr_se($C$6,$C$7,$C$8,$C$9,$C$10,$C$11,BQ$18,$C$13)*1.96</f>
        <v>1.2027772001497077</v>
      </c>
      <c r="BR26" s="20" cm="1">
        <f t="array" ref="BR26">lb_put_price_mc_vr_se($C$6,$C$7,$C$8,$C$9,$C$10,$C$11,BR$18,$C$13)*1.96</f>
        <v>1.1934223090428171</v>
      </c>
      <c r="BS26" s="20" cm="1">
        <f t="array" ref="BS26">lb_put_price_mc_vr_se($C$6,$C$7,$C$8,$C$9,$C$10,$C$11,BS$18,$C$13)*1.96</f>
        <v>1.2928780666679602</v>
      </c>
      <c r="BT26" s="20" cm="1">
        <f t="array" ref="BT26">lb_put_price_mc_vr_se($C$6,$C$7,$C$8,$C$9,$C$10,$C$11,BT$18,$C$13)*1.96</f>
        <v>1.0766398654492173</v>
      </c>
      <c r="BU26" s="20" cm="1">
        <f t="array" ref="BU26">lb_put_price_mc_vr_se($C$6,$C$7,$C$8,$C$9,$C$10,$C$11,BU$18,$C$13)*1.96</f>
        <v>1.2271062762568767</v>
      </c>
      <c r="BV26" s="20" cm="1">
        <f t="array" ref="BV26">lb_put_price_mc_vr_se($C$6,$C$7,$C$8,$C$9,$C$10,$C$11,BV$18,$C$13)*1.96</f>
        <v>1.2678300228912831</v>
      </c>
      <c r="BW26" s="20" cm="1">
        <f t="array" ref="BW26">lb_put_price_mc_vr_se($C$6,$C$7,$C$8,$C$9,$C$10,$C$11,BW$18,$C$13)*1.96</f>
        <v>1.2795035821970004</v>
      </c>
      <c r="BX26" s="20" cm="1">
        <f t="array" ref="BX26">lb_put_price_mc_vr_se($C$6,$C$7,$C$8,$C$9,$C$10,$C$11,BX$18,$C$13)*1.96</f>
        <v>1.3547386554060967</v>
      </c>
      <c r="BY26" s="20" cm="1">
        <f t="array" ref="BY26">lb_put_price_mc_vr_se($C$6,$C$7,$C$8,$C$9,$C$10,$C$11,BY$18,$C$13)*1.96</f>
        <v>1.1413883067168147</v>
      </c>
      <c r="BZ26" s="20" cm="1">
        <f t="array" ref="BZ26">lb_put_price_mc_vr_se($C$6,$C$7,$C$8,$C$9,$C$10,$C$11,BZ$18,$C$13)*1.96</f>
        <v>1.2550114525849272</v>
      </c>
      <c r="CA26" s="20" cm="1">
        <f t="array" ref="CA26">lb_put_price_mc_vr_se($C$6,$C$7,$C$8,$C$9,$C$10,$C$11,CA$18,$C$13)*1.96</f>
        <v>1.1629746596321706</v>
      </c>
      <c r="CB26" s="20" cm="1">
        <f t="array" ref="CB26">lb_put_price_mc_vr_se($C$6,$C$7,$C$8,$C$9,$C$10,$C$11,CB$18,$C$13)*1.96</f>
        <v>1.3279555848071014</v>
      </c>
      <c r="CC26" s="20" cm="1">
        <f t="array" ref="CC26">lb_put_price_mc_vr_se($C$6,$C$7,$C$8,$C$9,$C$10,$C$11,CC$18,$C$13)*1.96</f>
        <v>1.1368130540271069</v>
      </c>
      <c r="CD26" s="20" cm="1">
        <f t="array" ref="CD26">lb_put_price_mc_vr_se($C$6,$C$7,$C$8,$C$9,$C$10,$C$11,CD$18,$C$13)*1.96</f>
        <v>1.0890278377900158</v>
      </c>
      <c r="CE26" s="20" cm="1">
        <f t="array" ref="CE26">lb_put_price_mc_vr_se($C$6,$C$7,$C$8,$C$9,$C$10,$C$11,CE$18,$C$13)*1.96</f>
        <v>1.3899000398411063</v>
      </c>
      <c r="CF26" s="20" cm="1">
        <f t="array" ref="CF26">lb_put_price_mc_vr_se($C$6,$C$7,$C$8,$C$9,$C$10,$C$11,CF$18,$C$13)*1.96</f>
        <v>1.1625946241869056</v>
      </c>
      <c r="CG26" s="20" cm="1">
        <f t="array" ref="CG26">lb_put_price_mc_vr_se($C$6,$C$7,$C$8,$C$9,$C$10,$C$11,CG$18,$C$13)*1.96</f>
        <v>1.2057276077273342</v>
      </c>
      <c r="CH26" s="20" cm="1">
        <f t="array" ref="CH26">lb_put_price_mc_vr_se($C$6,$C$7,$C$8,$C$9,$C$10,$C$11,CH$18,$C$13)*1.96</f>
        <v>1.2410847434712484</v>
      </c>
      <c r="CI26" s="20" cm="1">
        <f t="array" ref="CI26">lb_put_price_mc_vr_se($C$6,$C$7,$C$8,$C$9,$C$10,$C$11,CI$18,$C$13)*1.96</f>
        <v>1.2195695097932855</v>
      </c>
      <c r="CJ26" s="20" cm="1">
        <f t="array" ref="CJ26">lb_put_price_mc_vr_se($C$6,$C$7,$C$8,$C$9,$C$10,$C$11,CJ$18,$C$13)*1.96</f>
        <v>1.1404994189649342</v>
      </c>
      <c r="CK26" s="20" cm="1">
        <f t="array" ref="CK26">lb_put_price_mc_vr_se($C$6,$C$7,$C$8,$C$9,$C$10,$C$11,CK$18,$C$13)*1.96</f>
        <v>1.1723775151465243</v>
      </c>
      <c r="CL26" s="20" cm="1">
        <f t="array" ref="CL26">lb_put_price_mc_vr_se($C$6,$C$7,$C$8,$C$9,$C$10,$C$11,CL$18,$C$13)*1.96</f>
        <v>1.2467042562025712</v>
      </c>
      <c r="CM26" s="20" cm="1">
        <f t="array" ref="CM26">lb_put_price_mc_vr_se($C$6,$C$7,$C$8,$C$9,$C$10,$C$11,CM$18,$C$13)*1.96</f>
        <v>1.2314352913528555</v>
      </c>
      <c r="CN26" s="20" cm="1">
        <f t="array" ref="CN26">lb_put_price_mc_vr_se($C$6,$C$7,$C$8,$C$9,$C$10,$C$11,CN$18,$C$13)*1.96</f>
        <v>0.97132630337921222</v>
      </c>
      <c r="CO26" s="20" cm="1">
        <f t="array" ref="CO26">lb_put_price_mc_vr_se($C$6,$C$7,$C$8,$C$9,$C$10,$C$11,CO$18,$C$13)*1.96</f>
        <v>1.2917010080891573</v>
      </c>
      <c r="CP26" s="20" cm="1">
        <f t="array" ref="CP26">lb_put_price_mc_vr_se($C$6,$C$7,$C$8,$C$9,$C$10,$C$11,CP$18,$C$13)*1.96</f>
        <v>1.1290919368099299</v>
      </c>
      <c r="CQ26" s="20" cm="1">
        <f t="array" ref="CQ26">lb_put_price_mc_vr_se($C$6,$C$7,$C$8,$C$9,$C$10,$C$11,CQ$18,$C$13)*1.96</f>
        <v>1.1575385085284571</v>
      </c>
      <c r="CR26" s="20" cm="1">
        <f t="array" ref="CR26">lb_put_price_mc_vr_se($C$6,$C$7,$C$8,$C$9,$C$10,$C$11,CR$18,$C$13)*1.96</f>
        <v>1.1328737095167738</v>
      </c>
      <c r="CS26" s="20" cm="1">
        <f t="array" ref="CS26">lb_put_price_mc_vr_se($C$6,$C$7,$C$8,$C$9,$C$10,$C$11,CS$18,$C$13)*1.96</f>
        <v>1.274180928779304</v>
      </c>
      <c r="CT26" s="20" cm="1">
        <f t="array" ref="CT26">lb_put_price_mc_vr_se($C$6,$C$7,$C$8,$C$9,$C$10,$C$11,CT$18,$C$13)*1.96</f>
        <v>1.2261475481517814</v>
      </c>
      <c r="CU26" s="20" cm="1">
        <f t="array" ref="CU26">lb_put_price_mc_vr_se($C$6,$C$7,$C$8,$C$9,$C$10,$C$11,CU$18,$C$13)*1.96</f>
        <v>1.3587987181388648</v>
      </c>
      <c r="CV26" s="20" cm="1">
        <f t="array" ref="CV26">lb_put_price_mc_vr_se($C$6,$C$7,$C$8,$C$9,$C$10,$C$11,CV$18,$C$13)*1.96</f>
        <v>1.1849609942267889</v>
      </c>
      <c r="CW26" s="20" cm="1">
        <f t="array" ref="CW26">lb_put_price_mc_vr_se($C$6,$C$7,$C$8,$C$9,$C$10,$C$11,CW$18,$C$13)*1.96</f>
        <v>1.1756996966518536</v>
      </c>
      <c r="CX26" s="20" cm="1">
        <f t="array" ref="CX26">lb_put_price_mc_vr_se($C$6,$C$7,$C$8,$C$9,$C$10,$C$11,CX$18,$C$13)*1.96</f>
        <v>1.1710647511859533</v>
      </c>
      <c r="CY26" s="20" cm="1">
        <f t="array" ref="CY26">lb_put_price_mc_vr_se($C$6,$C$7,$C$8,$C$9,$C$10,$C$11,CY$18,$C$13)*1.96</f>
        <v>1.2874921806336028</v>
      </c>
      <c r="CZ26" s="20" cm="1">
        <f t="array" ref="CZ26">lb_put_price_mc_vr_se($C$6,$C$7,$C$8,$C$9,$C$10,$C$11,CZ$18,$C$13)*1.96</f>
        <v>1.290188385255963</v>
      </c>
      <c r="DA26" s="20" cm="1">
        <f t="array" ref="DA26">lb_put_price_mc_vr_se($C$6,$C$7,$C$8,$C$9,$C$10,$C$11,DA$18,$C$13)*1.96</f>
        <v>1.1350912571944369</v>
      </c>
      <c r="DB26" s="20" cm="1">
        <f t="array" ref="DB26">lb_put_price_mc_vr_se($C$6,$C$7,$C$8,$C$9,$C$10,$C$11,DB$18,$C$13)*1.96</f>
        <v>1.1976736786290838</v>
      </c>
      <c r="DC26" s="20" cm="1">
        <f t="array" ref="DC26">lb_put_price_mc_vr_se($C$6,$C$7,$C$8,$C$9,$C$10,$C$11,DC$18,$C$13)*1.96</f>
        <v>1.2857392050168337</v>
      </c>
      <c r="DD26" s="20" cm="1">
        <f t="array" ref="DD26">lb_put_price_mc_vr_se($C$6,$C$7,$C$8,$C$9,$C$10,$C$11,DD$18,$C$13)*1.96</f>
        <v>1.368950015514623</v>
      </c>
      <c r="DE26" s="20" cm="1">
        <f t="array" ref="DE26">lb_put_price_mc_vr_se($C$6,$C$7,$C$8,$C$9,$C$10,$C$11,DE$18,$C$13)*1.96</f>
        <v>1.3791381613707283</v>
      </c>
      <c r="DF26" s="20" cm="1">
        <f t="array" ref="DF26">lb_put_price_mc_vr_se($C$6,$C$7,$C$8,$C$9,$C$10,$C$11,DF$18,$C$13)*1.96</f>
        <v>1.0521679058187596</v>
      </c>
      <c r="DG26" s="20" cm="1">
        <f t="array" ref="DG26">lb_put_price_mc_vr_se($C$6,$C$7,$C$8,$C$9,$C$10,$C$11,DG$18,$C$13)*1.96</f>
        <v>1.1867587576936893</v>
      </c>
      <c r="DH26" s="20" cm="1">
        <f t="array" ref="DH26">lb_put_price_mc_vr_se($C$6,$C$7,$C$8,$C$9,$C$10,$C$11,DH$18,$C$13)*1.96</f>
        <v>1.258255741296505</v>
      </c>
      <c r="DI26" s="20" cm="1">
        <f t="array" ref="DI26">lb_put_price_mc_vr_se($C$6,$C$7,$C$8,$C$9,$C$10,$C$11,DI$18,$C$13)*1.96</f>
        <v>1.2189827150116381</v>
      </c>
      <c r="DJ26" s="20" cm="1">
        <f t="array" ref="DJ26">lb_put_price_mc_vr_se($C$6,$C$7,$C$8,$C$9,$C$10,$C$11,DJ$18,$C$13)*1.96</f>
        <v>1.2297308891806307</v>
      </c>
    </row>
    <row r="27" spans="1:117" ht="20.55" customHeight="1" x14ac:dyDescent="0.45"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</row>
    <row r="28" spans="1:117" ht="20.55" customHeight="1" x14ac:dyDescent="0.45"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</row>
    <row r="29" spans="1:117" ht="20.55" customHeight="1" x14ac:dyDescent="0.45">
      <c r="N29" s="20" t="s">
        <v>42</v>
      </c>
      <c r="O29" s="20" cm="1">
        <f t="array" ref="O29">lb_call_price_mc(O$18,$C$7,$C$8,$C$9,$C$10,$C$11,$C$12,$C$13)</f>
        <v>0.18547361800396128</v>
      </c>
      <c r="P29" s="20" cm="1">
        <f t="array" ref="P29">lb_call_price_mc(P$18,$C$7,$C$8,$C$9,$C$10,$C$11,$C$12,$C$13)</f>
        <v>0.37094723600792257</v>
      </c>
      <c r="Q29" s="20" cm="1">
        <f t="array" ref="Q29">lb_call_price_mc(Q$18,$C$7,$C$8,$C$9,$C$10,$C$11,$C$12,$C$13)</f>
        <v>0.55642085401188346</v>
      </c>
      <c r="R29" s="20" cm="1">
        <f t="array" ref="R29">lb_call_price_mc(R$18,$C$7,$C$8,$C$9,$C$10,$C$11,$C$12,$C$13)</f>
        <v>0.74189447201584513</v>
      </c>
      <c r="S29" s="20" cm="1">
        <f t="array" ref="S29">lb_call_price_mc(S$18,$C$7,$C$8,$C$9,$C$10,$C$11,$C$12,$C$13)</f>
        <v>0.92736809001980647</v>
      </c>
      <c r="T29" s="20" cm="1">
        <f t="array" ref="T29">lb_call_price_mc(T$18,$C$7,$C$8,$C$9,$C$10,$C$11,$C$12,$C$13)</f>
        <v>1.1128417080237669</v>
      </c>
      <c r="U29" s="20" cm="1">
        <f t="array" ref="U29">lb_call_price_mc(U$18,$C$7,$C$8,$C$9,$C$10,$C$11,$C$12,$C$13)</f>
        <v>1.2983153260277285</v>
      </c>
      <c r="V29" s="20" cm="1">
        <f t="array" ref="V29">lb_call_price_mc(V$18,$C$7,$C$8,$C$9,$C$10,$C$11,$C$12,$C$13)</f>
        <v>1.4837889440316903</v>
      </c>
      <c r="W29" s="20" cm="1">
        <f t="array" ref="W29">lb_call_price_mc(W$18,$C$7,$C$8,$C$9,$C$10,$C$11,$C$12,$C$13)</f>
        <v>1.6692625620356512</v>
      </c>
      <c r="X29" s="20" cm="1">
        <f t="array" ref="X29">lb_call_price_mc(X$18,$C$7,$C$8,$C$9,$C$10,$C$11,$C$12,$C$13)</f>
        <v>1.8547361800396129</v>
      </c>
      <c r="Y29" s="20" cm="1">
        <f t="array" ref="Y29">lb_call_price_mc(Y$18,$C$7,$C$8,$C$9,$C$10,$C$11,$C$12,$C$13)</f>
        <v>2.0402097980435716</v>
      </c>
      <c r="Z29" s="20" cm="1">
        <f t="array" ref="Z29">lb_call_price_mc(Z$18,$C$7,$C$8,$C$9,$C$10,$C$11,$C$12,$C$13)</f>
        <v>2.2256834160475338</v>
      </c>
      <c r="AA29" s="20" cm="1">
        <f t="array" ref="AA29">lb_call_price_mc(AA$18,$C$7,$C$8,$C$9,$C$10,$C$11,$C$12,$C$13)</f>
        <v>2.4111570340514947</v>
      </c>
      <c r="AB29" s="20" cm="1">
        <f t="array" ref="AB29">lb_call_price_mc(AB$18,$C$7,$C$8,$C$9,$C$10,$C$11,$C$12,$C$13)</f>
        <v>2.596630652055457</v>
      </c>
      <c r="AC29" s="20" cm="1">
        <f t="array" ref="AC29">lb_call_price_mc(AC$18,$C$7,$C$8,$C$9,$C$10,$C$11,$C$12,$C$13)</f>
        <v>2.7821042700594174</v>
      </c>
      <c r="AD29" s="20" cm="1">
        <f t="array" ref="AD29">lb_call_price_mc(AD$18,$C$7,$C$8,$C$9,$C$10,$C$11,$C$12,$C$13)</f>
        <v>2.9675778880633805</v>
      </c>
      <c r="AE29" s="20" cm="1">
        <f t="array" ref="AE29">lb_call_price_mc(AE$18,$C$7,$C$8,$C$9,$C$10,$C$11,$C$12,$C$13)</f>
        <v>3.153051506067341</v>
      </c>
      <c r="AF29" s="20" cm="1">
        <f t="array" ref="AF29">lb_call_price_mc(AF$18,$C$7,$C$8,$C$9,$C$10,$C$11,$C$12,$C$13)</f>
        <v>3.3385251240713023</v>
      </c>
      <c r="AG29" s="20" cm="1">
        <f t="array" ref="AG29">lb_call_price_mc(AG$18,$C$7,$C$8,$C$9,$C$10,$C$11,$C$12,$C$13)</f>
        <v>3.5239987420752636</v>
      </c>
      <c r="AH29" s="20" cm="1">
        <f t="array" ref="AH29">lb_call_price_mc(AH$18,$C$7,$C$8,$C$9,$C$10,$C$11,$C$12,$C$13)</f>
        <v>3.7094723600792259</v>
      </c>
      <c r="AI29" s="20" cm="1">
        <f t="array" ref="AI29">lb_call_price_mc(AI$18,$C$7,$C$8,$C$9,$C$10,$C$11,$C$12,$C$13)</f>
        <v>3.8949459780831863</v>
      </c>
      <c r="AJ29" s="20" cm="1">
        <f t="array" ref="AJ29">lb_call_price_mc(AJ$18,$C$7,$C$8,$C$9,$C$10,$C$11,$C$12,$C$13)</f>
        <v>4.0804195960871432</v>
      </c>
      <c r="AK29" s="20" cm="1">
        <f t="array" ref="AK29">lb_call_price_mc(AK$18,$C$7,$C$8,$C$9,$C$10,$C$11,$C$12,$C$13)</f>
        <v>4.2658932140911068</v>
      </c>
      <c r="AL29" s="20" cm="1">
        <f t="array" ref="AL29">lb_call_price_mc(AL$18,$C$7,$C$8,$C$9,$C$10,$C$11,$C$12,$C$13)</f>
        <v>4.4513668320950677</v>
      </c>
      <c r="AM29" s="20" cm="1">
        <f t="array" ref="AM29">lb_call_price_mc(AM$18,$C$7,$C$8,$C$9,$C$10,$C$11,$C$12,$C$13)</f>
        <v>4.6368404500990295</v>
      </c>
      <c r="AN29" s="20" cm="1">
        <f t="array" ref="AN29">lb_call_price_mc(AN$18,$C$7,$C$8,$C$9,$C$10,$C$11,$C$12,$C$13)</f>
        <v>4.8223140681029895</v>
      </c>
      <c r="AO29" s="20" cm="1">
        <f t="array" ref="AO29">lb_call_price_mc(AO$18,$C$7,$C$8,$C$9,$C$10,$C$11,$C$12,$C$13)</f>
        <v>5.007787686106953</v>
      </c>
      <c r="AP29" s="20" cm="1">
        <f t="array" ref="AP29">lb_call_price_mc(AP$18,$C$7,$C$8,$C$9,$C$10,$C$11,$C$12,$C$13)</f>
        <v>5.1932613041109139</v>
      </c>
      <c r="AQ29" s="20" cm="1">
        <f t="array" ref="AQ29">lb_call_price_mc(AQ$18,$C$7,$C$8,$C$9,$C$10,$C$11,$C$12,$C$13)</f>
        <v>5.378734922114873</v>
      </c>
      <c r="AR29" s="20" cm="1">
        <f t="array" ref="AR29">lb_call_price_mc(AR$18,$C$7,$C$8,$C$9,$C$10,$C$11,$C$12,$C$13)</f>
        <v>5.5642085401188348</v>
      </c>
      <c r="AS29" s="20" cm="1">
        <f t="array" ref="AS29">lb_call_price_mc(AS$18,$C$7,$C$8,$C$9,$C$10,$C$11,$C$12,$C$13)</f>
        <v>5.7496821581227984</v>
      </c>
      <c r="AT29" s="20" cm="1">
        <f t="array" ref="AT29">lb_call_price_mc(AT$18,$C$7,$C$8,$C$9,$C$10,$C$11,$C$12,$C$13)</f>
        <v>5.935155776126761</v>
      </c>
      <c r="AU29" s="20" cm="1">
        <f t="array" ref="AU29">lb_call_price_mc(AU$18,$C$7,$C$8,$C$9,$C$10,$C$11,$C$12,$C$13)</f>
        <v>6.1206293941307202</v>
      </c>
      <c r="AV29" s="20" cm="1">
        <f t="array" ref="AV29">lb_call_price_mc(AV$18,$C$7,$C$8,$C$9,$C$10,$C$11,$C$12,$C$13)</f>
        <v>6.3061030121346819</v>
      </c>
      <c r="AW29" s="20" cm="1">
        <f t="array" ref="AW29">lb_call_price_mc(AW$18,$C$7,$C$8,$C$9,$C$10,$C$11,$C$12,$C$13)</f>
        <v>6.4915766301386419</v>
      </c>
      <c r="AX29" s="20" cm="1">
        <f t="array" ref="AX29">lb_call_price_mc(AX$18,$C$7,$C$8,$C$9,$C$10,$C$11,$C$12,$C$13)</f>
        <v>6.6770502481426046</v>
      </c>
      <c r="AY29" s="20" cm="1">
        <f t="array" ref="AY29">lb_call_price_mc(AY$18,$C$7,$C$8,$C$9,$C$10,$C$11,$C$12,$C$13)</f>
        <v>6.8625238661465655</v>
      </c>
      <c r="AZ29" s="20" cm="1">
        <f t="array" ref="AZ29">lb_call_price_mc(AZ$18,$C$7,$C$8,$C$9,$C$10,$C$11,$C$12,$C$13)</f>
        <v>7.0479974841505273</v>
      </c>
      <c r="BA29" s="20" cm="1">
        <f t="array" ref="BA29">lb_call_price_mc(BA$18,$C$7,$C$8,$C$9,$C$10,$C$11,$C$12,$C$13)</f>
        <v>7.2334711021544882</v>
      </c>
      <c r="BB29" s="20" cm="1">
        <f t="array" ref="BB29">lb_call_price_mc(BB$18,$C$7,$C$8,$C$9,$C$10,$C$11,$C$12,$C$13)</f>
        <v>7.4189447201584517</v>
      </c>
      <c r="BC29" s="20" cm="1">
        <f t="array" ref="BC29">lb_call_price_mc(BC$18,$C$7,$C$8,$C$9,$C$10,$C$11,$C$12,$C$13)</f>
        <v>7.6044183381624109</v>
      </c>
      <c r="BD29" s="20" cm="1">
        <f t="array" ref="BD29">lb_call_price_mc(BD$18,$C$7,$C$8,$C$9,$C$10,$C$11,$C$12,$C$13)</f>
        <v>7.7898919561663726</v>
      </c>
      <c r="BE29" s="20" cm="1">
        <f t="array" ref="BE29">lb_call_price_mc(BE$18,$C$7,$C$8,$C$9,$C$10,$C$11,$C$12,$C$13)</f>
        <v>7.9753655741703389</v>
      </c>
      <c r="BF29" s="20" cm="1">
        <f t="array" ref="BF29">lb_call_price_mc(BF$18,$C$7,$C$8,$C$9,$C$10,$C$11,$C$12,$C$13)</f>
        <v>8.1608391921742864</v>
      </c>
      <c r="BG29" s="20" cm="1">
        <f t="array" ref="BG29">lb_call_price_mc(BG$18,$C$7,$C$8,$C$9,$C$10,$C$11,$C$12,$C$13)</f>
        <v>8.3463128101782473</v>
      </c>
      <c r="BH29" s="20" cm="1">
        <f t="array" ref="BH29">lb_call_price_mc(BH$18,$C$7,$C$8,$C$9,$C$10,$C$11,$C$12,$C$13)</f>
        <v>8.5317864281822136</v>
      </c>
      <c r="BI29" s="20" cm="1">
        <f t="array" ref="BI29">lb_call_price_mc(BI$18,$C$7,$C$8,$C$9,$C$10,$C$11,$C$12,$C$13)</f>
        <v>8.7172600461861727</v>
      </c>
      <c r="BJ29" s="20" cm="1">
        <f t="array" ref="BJ29">lb_call_price_mc(BJ$18,$C$7,$C$8,$C$9,$C$10,$C$11,$C$12,$C$13)</f>
        <v>8.9027336641901353</v>
      </c>
      <c r="BK29" s="20" cm="1">
        <f t="array" ref="BK29">lb_call_price_mc(BK$18,$C$7,$C$8,$C$9,$C$10,$C$11,$C$12,$C$13)</f>
        <v>9.0882072821941033</v>
      </c>
      <c r="BL29" s="20" cm="1">
        <f t="array" ref="BL29">lb_call_price_mc(BL$18,$C$7,$C$8,$C$9,$C$10,$C$11,$C$12,$C$13)</f>
        <v>9.2736809001980589</v>
      </c>
      <c r="BM29" s="20" cm="1">
        <f t="array" ref="BM29">lb_call_price_mc(BM$18,$C$7,$C$8,$C$9,$C$10,$C$11,$C$12,$C$13)</f>
        <v>9.4591545182020251</v>
      </c>
      <c r="BN29" s="20" cm="1">
        <f t="array" ref="BN29">lb_call_price_mc(BN$18,$C$7,$C$8,$C$9,$C$10,$C$11,$C$12,$C$13)</f>
        <v>9.6446281362059789</v>
      </c>
      <c r="BO29" s="20" cm="1">
        <f t="array" ref="BO29">lb_call_price_mc(BO$18,$C$7,$C$8,$C$9,$C$10,$C$11,$C$12,$C$13)</f>
        <v>9.8301017542099451</v>
      </c>
      <c r="BP29" s="20" cm="1">
        <f t="array" ref="BP29">lb_call_price_mc(BP$18,$C$7,$C$8,$C$9,$C$10,$C$11,$C$12,$C$13)</f>
        <v>10.015575372213906</v>
      </c>
      <c r="BQ29" s="20" cm="1">
        <f t="array" ref="BQ29">lb_call_price_mc(BQ$18,$C$7,$C$8,$C$9,$C$10,$C$11,$C$12,$C$13)</f>
        <v>10.201048990217876</v>
      </c>
      <c r="BR29" s="20" cm="1">
        <f t="array" ref="BR29">lb_call_price_mc(BR$18,$C$7,$C$8,$C$9,$C$10,$C$11,$C$12,$C$13)</f>
        <v>10.386522608221828</v>
      </c>
      <c r="BS29" s="20" cm="1">
        <f t="array" ref="BS29">lb_call_price_mc(BS$18,$C$7,$C$8,$C$9,$C$10,$C$11,$C$12,$C$13)</f>
        <v>10.571996226225785</v>
      </c>
      <c r="BT29" s="20" cm="1">
        <f t="array" ref="BT29">lb_call_price_mc(BT$18,$C$7,$C$8,$C$9,$C$10,$C$11,$C$12,$C$13)</f>
        <v>10.757469844229746</v>
      </c>
      <c r="BU29" s="20" cm="1">
        <f t="array" ref="BU29">lb_call_price_mc(BU$18,$C$7,$C$8,$C$9,$C$10,$C$11,$C$12,$C$13)</f>
        <v>10.942943462233711</v>
      </c>
      <c r="BV29" s="20" cm="1">
        <f t="array" ref="BV29">lb_call_price_mc(BV$18,$C$7,$C$8,$C$9,$C$10,$C$11,$C$12,$C$13)</f>
        <v>11.12841708023767</v>
      </c>
      <c r="BW29" s="20" cm="1">
        <f t="array" ref="BW29">lb_call_price_mc(BW$18,$C$7,$C$8,$C$9,$C$10,$C$11,$C$12,$C$13)</f>
        <v>11.313890698241636</v>
      </c>
      <c r="BX29" s="20" cm="1">
        <f t="array" ref="BX29">lb_call_price_mc(BX$18,$C$7,$C$8,$C$9,$C$10,$C$11,$C$12,$C$13)</f>
        <v>11.499364316245597</v>
      </c>
      <c r="BY29" s="20" cm="1">
        <f t="array" ref="BY29">lb_call_price_mc(BY$18,$C$7,$C$8,$C$9,$C$10,$C$11,$C$12,$C$13)</f>
        <v>11.684837934249554</v>
      </c>
      <c r="BZ29" s="20" cm="1">
        <f t="array" ref="BZ29">lb_call_price_mc(BZ$18,$C$7,$C$8,$C$9,$C$10,$C$11,$C$12,$C$13)</f>
        <v>11.870311552253522</v>
      </c>
      <c r="CA29" s="20" cm="1">
        <f t="array" ref="CA29">lb_call_price_mc(CA$18,$C$7,$C$8,$C$9,$C$10,$C$11,$C$12,$C$13)</f>
        <v>12.055785170257479</v>
      </c>
      <c r="CB29" s="20" cm="1">
        <f t="array" ref="CB29">lb_call_price_mc(CB$18,$C$7,$C$8,$C$9,$C$10,$C$11,$C$12,$C$13)</f>
        <v>12.24125878826144</v>
      </c>
      <c r="CC29" s="20" cm="1">
        <f t="array" ref="CC29">lb_call_price_mc(CC$18,$C$7,$C$8,$C$9,$C$10,$C$11,$C$12,$C$13)</f>
        <v>12.426732406265412</v>
      </c>
      <c r="CD29" s="20" cm="1">
        <f t="array" ref="CD29">lb_call_price_mc(CD$18,$C$7,$C$8,$C$9,$C$10,$C$11,$C$12,$C$13)</f>
        <v>12.612206024269364</v>
      </c>
      <c r="CE29" s="20" cm="1">
        <f t="array" ref="CE29">lb_call_price_mc(CE$18,$C$7,$C$8,$C$9,$C$10,$C$11,$C$12,$C$13)</f>
        <v>12.797679642273323</v>
      </c>
      <c r="CF29" s="20" cm="1">
        <f t="array" ref="CF29">lb_call_price_mc(CF$18,$C$7,$C$8,$C$9,$C$10,$C$11,$C$12,$C$13)</f>
        <v>12.983153260277284</v>
      </c>
      <c r="CG29" s="20" cm="1">
        <f t="array" ref="CG29">lb_call_price_mc(CG$18,$C$7,$C$8,$C$9,$C$10,$C$11,$C$12,$C$13)</f>
        <v>13.168626878281241</v>
      </c>
      <c r="CH29" s="20" cm="1">
        <f t="array" ref="CH29">lb_call_price_mc(CH$18,$C$7,$C$8,$C$9,$C$10,$C$11,$C$12,$C$13)</f>
        <v>13.354100496285209</v>
      </c>
      <c r="CI29" s="20" cm="1">
        <f t="array" ref="CI29">lb_call_price_mc(CI$18,$C$7,$C$8,$C$9,$C$10,$C$11,$C$12,$C$13)</f>
        <v>13.539574114289168</v>
      </c>
      <c r="CJ29" s="20" cm="1">
        <f t="array" ref="CJ29">lb_call_price_mc(CJ$18,$C$7,$C$8,$C$9,$C$10,$C$11,$C$12,$C$13)</f>
        <v>13.725047732293131</v>
      </c>
      <c r="CK29" s="20" cm="1">
        <f t="array" ref="CK29">lb_call_price_mc(CK$18,$C$7,$C$8,$C$9,$C$10,$C$11,$C$12,$C$13)</f>
        <v>13.910521350297094</v>
      </c>
      <c r="CL29" s="20" cm="1">
        <f t="array" ref="CL29">lb_call_price_mc(CL$18,$C$7,$C$8,$C$9,$C$10,$C$11,$C$12,$C$13)</f>
        <v>14.095994968301055</v>
      </c>
      <c r="CM29" s="20" cm="1">
        <f t="array" ref="CM29">lb_call_price_mc(CM$18,$C$7,$C$8,$C$9,$C$10,$C$11,$C$12,$C$13)</f>
        <v>14.281468586305012</v>
      </c>
      <c r="CN29" s="20" cm="1">
        <f t="array" ref="CN29">lb_call_price_mc(CN$18,$C$7,$C$8,$C$9,$C$10,$C$11,$C$12,$C$13)</f>
        <v>14.466942204308976</v>
      </c>
      <c r="CO29" s="20" cm="1">
        <f t="array" ref="CO29">lb_call_price_mc(CO$18,$C$7,$C$8,$C$9,$C$10,$C$11,$C$12,$C$13)</f>
        <v>14.652415822312925</v>
      </c>
      <c r="CP29" s="20" cm="1">
        <f t="array" ref="CP29">lb_call_price_mc(CP$18,$C$7,$C$8,$C$9,$C$10,$C$11,$C$12,$C$13)</f>
        <v>14.837889440316903</v>
      </c>
      <c r="CQ29" s="20" cm="1">
        <f t="array" ref="CQ29">lb_call_price_mc(CQ$18,$C$7,$C$8,$C$9,$C$10,$C$11,$C$12,$C$13)</f>
        <v>15.023363058320863</v>
      </c>
      <c r="CR29" s="20" cm="1">
        <f t="array" ref="CR29">lb_call_price_mc(CR$18,$C$7,$C$8,$C$9,$C$10,$C$11,$C$12,$C$13)</f>
        <v>15.208836676324822</v>
      </c>
      <c r="CS29" s="20" cm="1">
        <f t="array" ref="CS29">lb_call_price_mc(CS$18,$C$7,$C$8,$C$9,$C$10,$C$11,$C$12,$C$13)</f>
        <v>15.394310294328786</v>
      </c>
      <c r="CT29" s="20" cm="1">
        <f t="array" ref="CT29">lb_call_price_mc(CT$18,$C$7,$C$8,$C$9,$C$10,$C$11,$C$12,$C$13)</f>
        <v>15.579783912332745</v>
      </c>
      <c r="CU29" s="20" cm="1">
        <f t="array" ref="CU29">lb_call_price_mc(CU$18,$C$7,$C$8,$C$9,$C$10,$C$11,$C$12,$C$13)</f>
        <v>15.765257530336713</v>
      </c>
      <c r="CV29" s="20" cm="1">
        <f t="array" ref="CV29">lb_call_price_mc(CV$18,$C$7,$C$8,$C$9,$C$10,$C$11,$C$12,$C$13)</f>
        <v>15.950731148340678</v>
      </c>
      <c r="CW29" s="20" cm="1">
        <f t="array" ref="CW29">lb_call_price_mc(CW$18,$C$7,$C$8,$C$9,$C$10,$C$11,$C$12,$C$13)</f>
        <v>16.13620476634463</v>
      </c>
      <c r="CX29" s="20" cm="1">
        <f t="array" ref="CX29">lb_call_price_mc(CX$18,$C$7,$C$8,$C$9,$C$10,$C$11,$C$12,$C$13)</f>
        <v>16.321678384348573</v>
      </c>
      <c r="CY29" s="20" cm="1">
        <f t="array" ref="CY29">lb_call_price_mc(CY$18,$C$7,$C$8,$C$9,$C$10,$C$11,$C$12,$C$13)</f>
        <v>16.507152002352541</v>
      </c>
      <c r="CZ29" s="20" cm="1">
        <f t="array" ref="CZ29">lb_call_price_mc(CZ$18,$C$7,$C$8,$C$9,$C$10,$C$11,$C$12,$C$13)</f>
        <v>16.692625620356495</v>
      </c>
      <c r="DA29" s="20" cm="1">
        <f t="array" ref="DA29">lb_call_price_mc(DA$18,$C$7,$C$8,$C$9,$C$10,$C$11,$C$12,$C$13)</f>
        <v>16.878099238360463</v>
      </c>
      <c r="DB29" s="20" cm="1">
        <f t="array" ref="DB29">lb_call_price_mc(DB$18,$C$7,$C$8,$C$9,$C$10,$C$11,$C$12,$C$13)</f>
        <v>17.063572856364427</v>
      </c>
      <c r="DC29" s="20" cm="1">
        <f t="array" ref="DC29">lb_call_price_mc(DC$18,$C$7,$C$8,$C$9,$C$10,$C$11,$C$12,$C$13)</f>
        <v>17.249046474368392</v>
      </c>
      <c r="DD29" s="20" cm="1">
        <f t="array" ref="DD29">lb_call_price_mc(DD$18,$C$7,$C$8,$C$9,$C$10,$C$11,$C$12,$C$13)</f>
        <v>17.434520092372345</v>
      </c>
      <c r="DE29" s="20" cm="1">
        <f t="array" ref="DE29">lb_call_price_mc(DE$18,$C$7,$C$8,$C$9,$C$10,$C$11,$C$12,$C$13)</f>
        <v>17.61999371037631</v>
      </c>
      <c r="DF29" s="20" cm="1">
        <f t="array" ref="DF29">lb_call_price_mc(DF$18,$C$7,$C$8,$C$9,$C$10,$C$11,$C$12,$C$13)</f>
        <v>17.805467328380271</v>
      </c>
      <c r="DG29" s="20" cm="1">
        <f t="array" ref="DG29">lb_call_price_mc(DG$18,$C$7,$C$8,$C$9,$C$10,$C$11,$C$12,$C$13)</f>
        <v>17.990940946384246</v>
      </c>
      <c r="DH29" s="20" cm="1">
        <f t="array" ref="DH29">lb_call_price_mc(DH$18,$C$7,$C$8,$C$9,$C$10,$C$11,$C$12,$C$13)</f>
        <v>18.176414564388207</v>
      </c>
      <c r="DI29" s="20" cm="1">
        <f t="array" ref="DI29">lb_call_price_mc(DI$18,$C$7,$C$8,$C$9,$C$10,$C$11,$C$12,$C$13)</f>
        <v>18.361888182392168</v>
      </c>
      <c r="DJ29" s="20" cm="1">
        <f t="array" ref="DJ29">lb_call_price_mc(DJ$18,$C$7,$C$8,$C$9,$C$10,$C$11,$C$12,$C$13)</f>
        <v>18.547361800396118</v>
      </c>
    </row>
    <row r="30" spans="1:117" ht="20.55" customHeight="1" x14ac:dyDescent="0.45">
      <c r="N30" s="20" t="s">
        <v>44</v>
      </c>
      <c r="O30" s="20" cm="1">
        <f t="array" ref="O30">lb_put_price_mc(O$18,$C$7,$C$8,$C$9,$C$10,$C$11,$C$12,$C$13)</f>
        <v>0.1168273752276766</v>
      </c>
      <c r="P30" s="20" cm="1">
        <f t="array" ref="P30">lb_put_price_mc(P$18,$C$7,$C$8,$C$9,$C$10,$C$11,$C$12,$C$13)</f>
        <v>0.23365475045535319</v>
      </c>
      <c r="Q30" s="20" cm="1">
        <f t="array" ref="Q30">lb_put_price_mc(Q$18,$C$7,$C$8,$C$9,$C$10,$C$11,$C$12,$C$13)</f>
        <v>0.35048212568302972</v>
      </c>
      <c r="R30" s="20" cm="1">
        <f t="array" ref="R30">lb_put_price_mc(R$18,$C$7,$C$8,$C$9,$C$10,$C$11,$C$12,$C$13)</f>
        <v>0.46730950091070639</v>
      </c>
      <c r="S30" s="20" cm="1">
        <f t="array" ref="S30">lb_put_price_mc(S$18,$C$7,$C$8,$C$9,$C$10,$C$11,$C$12,$C$13)</f>
        <v>0.58413687613838239</v>
      </c>
      <c r="T30" s="20" cm="1">
        <f t="array" ref="T30">lb_put_price_mc(T$18,$C$7,$C$8,$C$9,$C$10,$C$11,$C$12,$C$13)</f>
        <v>0.70096425136605944</v>
      </c>
      <c r="U30" s="20" cm="1">
        <f t="array" ref="U30">lb_put_price_mc(U$18,$C$7,$C$8,$C$9,$C$10,$C$11,$C$12,$C$13)</f>
        <v>0.81779162659373605</v>
      </c>
      <c r="V30" s="20" cm="1">
        <f t="array" ref="V30">lb_put_price_mc(V$18,$C$7,$C$8,$C$9,$C$10,$C$11,$C$12,$C$13)</f>
        <v>0.93461900182141278</v>
      </c>
      <c r="W30" s="20" cm="1">
        <f t="array" ref="W30">lb_put_price_mc(W$18,$C$7,$C$8,$C$9,$C$10,$C$11,$C$12,$C$13)</f>
        <v>1.0514463770490887</v>
      </c>
      <c r="X30" s="20" cm="1">
        <f t="array" ref="X30">lb_put_price_mc(X$18,$C$7,$C$8,$C$9,$C$10,$C$11,$C$12,$C$13)</f>
        <v>1.1682737522767648</v>
      </c>
      <c r="Y30" s="20" cm="1">
        <f t="array" ref="Y30">lb_put_price_mc(Y$18,$C$7,$C$8,$C$9,$C$10,$C$11,$C$12,$C$13)</f>
        <v>1.2851011275044426</v>
      </c>
      <c r="Z30" s="20" cm="1">
        <f t="array" ref="Z30">lb_put_price_mc(Z$18,$C$7,$C$8,$C$9,$C$10,$C$11,$C$12,$C$13)</f>
        <v>1.4019285027321189</v>
      </c>
      <c r="AA30" s="20" cm="1">
        <f t="array" ref="AA30">lb_put_price_mc(AA$18,$C$7,$C$8,$C$9,$C$10,$C$11,$C$12,$C$13)</f>
        <v>1.5187558779597947</v>
      </c>
      <c r="AB30" s="20" cm="1">
        <f t="array" ref="AB30">lb_put_price_mc(AB$18,$C$7,$C$8,$C$9,$C$10,$C$11,$C$12,$C$13)</f>
        <v>1.6355832531874721</v>
      </c>
      <c r="AC30" s="20" cm="1">
        <f t="array" ref="AC30">lb_put_price_mc(AC$18,$C$7,$C$8,$C$9,$C$10,$C$11,$C$12,$C$13)</f>
        <v>1.7524106284151482</v>
      </c>
      <c r="AD30" s="20" cm="1">
        <f t="array" ref="AD30">lb_put_price_mc(AD$18,$C$7,$C$8,$C$9,$C$10,$C$11,$C$12,$C$13)</f>
        <v>1.8692380036428256</v>
      </c>
      <c r="AE30" s="20" cm="1">
        <f t="array" ref="AE30">lb_put_price_mc(AE$18,$C$7,$C$8,$C$9,$C$10,$C$11,$C$12,$C$13)</f>
        <v>1.9860653788705016</v>
      </c>
      <c r="AF30" s="20" cm="1">
        <f t="array" ref="AF30">lb_put_price_mc(AF$18,$C$7,$C$8,$C$9,$C$10,$C$11,$C$12,$C$13)</f>
        <v>2.1028927540981774</v>
      </c>
      <c r="AG30" s="20" cm="1">
        <f t="array" ref="AG30">lb_put_price_mc(AG$18,$C$7,$C$8,$C$9,$C$10,$C$11,$C$12,$C$13)</f>
        <v>2.2197201293258537</v>
      </c>
      <c r="AH30" s="20" cm="1">
        <f t="array" ref="AH30">lb_put_price_mc(AH$18,$C$7,$C$8,$C$9,$C$10,$C$11,$C$12,$C$13)</f>
        <v>2.3365475045535296</v>
      </c>
      <c r="AI30" s="20" cm="1">
        <f t="array" ref="AI30">lb_put_price_mc(AI$18,$C$7,$C$8,$C$9,$C$10,$C$11,$C$12,$C$13)</f>
        <v>2.4533748797812072</v>
      </c>
      <c r="AJ30" s="20" cm="1">
        <f t="array" ref="AJ30">lb_put_price_mc(AJ$18,$C$7,$C$8,$C$9,$C$10,$C$11,$C$12,$C$13)</f>
        <v>2.5702022550088852</v>
      </c>
      <c r="AK30" s="20" cm="1">
        <f t="array" ref="AK30">lb_put_price_mc(AK$18,$C$7,$C$8,$C$9,$C$10,$C$11,$C$12,$C$13)</f>
        <v>2.6870296302365597</v>
      </c>
      <c r="AL30" s="20" cm="1">
        <f t="array" ref="AL30">lb_put_price_mc(AL$18,$C$7,$C$8,$C$9,$C$10,$C$11,$C$12,$C$13)</f>
        <v>2.8038570054642378</v>
      </c>
      <c r="AM30" s="20" cm="1">
        <f t="array" ref="AM30">lb_put_price_mc(AM$18,$C$7,$C$8,$C$9,$C$10,$C$11,$C$12,$C$13)</f>
        <v>2.9206843806919141</v>
      </c>
      <c r="AN30" s="20" cm="1">
        <f t="array" ref="AN30">lb_put_price_mc(AN$18,$C$7,$C$8,$C$9,$C$10,$C$11,$C$12,$C$13)</f>
        <v>3.0375117559195894</v>
      </c>
      <c r="AO30" s="20" cm="1">
        <f t="array" ref="AO30">lb_put_price_mc(AO$18,$C$7,$C$8,$C$9,$C$10,$C$11,$C$12,$C$13)</f>
        <v>3.1543391311472662</v>
      </c>
      <c r="AP30" s="20" cm="1">
        <f t="array" ref="AP30">lb_put_price_mc(AP$18,$C$7,$C$8,$C$9,$C$10,$C$11,$C$12,$C$13)</f>
        <v>3.2711665063749442</v>
      </c>
      <c r="AQ30" s="20" cm="1">
        <f t="array" ref="AQ30">lb_put_price_mc(AQ$18,$C$7,$C$8,$C$9,$C$10,$C$11,$C$12,$C$13)</f>
        <v>3.3879938816026192</v>
      </c>
      <c r="AR30" s="20" cm="1">
        <f t="array" ref="AR30">lb_put_price_mc(AR$18,$C$7,$C$8,$C$9,$C$10,$C$11,$C$12,$C$13)</f>
        <v>3.5048212568302963</v>
      </c>
      <c r="AS30" s="20" cm="1">
        <f t="array" ref="AS30">lb_put_price_mc(AS$18,$C$7,$C$8,$C$9,$C$10,$C$11,$C$12,$C$13)</f>
        <v>3.6216486320579739</v>
      </c>
      <c r="AT30" s="20" cm="1">
        <f t="array" ref="AT30">lb_put_price_mc(AT$18,$C$7,$C$8,$C$9,$C$10,$C$11,$C$12,$C$13)</f>
        <v>3.7384760072856511</v>
      </c>
      <c r="AU30" s="20" cm="1">
        <f t="array" ref="AU30">lb_put_price_mc(AU$18,$C$7,$C$8,$C$9,$C$10,$C$11,$C$12,$C$13)</f>
        <v>3.8553033825133269</v>
      </c>
      <c r="AV30" s="20" cm="1">
        <f t="array" ref="AV30">lb_put_price_mc(AV$18,$C$7,$C$8,$C$9,$C$10,$C$11,$C$12,$C$13)</f>
        <v>3.9721307577410032</v>
      </c>
      <c r="AW30" s="20" cm="1">
        <f t="array" ref="AW30">lb_put_price_mc(AW$18,$C$7,$C$8,$C$9,$C$10,$C$11,$C$12,$C$13)</f>
        <v>4.0889581329686777</v>
      </c>
      <c r="AX30" s="20" cm="1">
        <f t="array" ref="AX30">lb_put_price_mc(AX$18,$C$7,$C$8,$C$9,$C$10,$C$11,$C$12,$C$13)</f>
        <v>4.2057855081963549</v>
      </c>
      <c r="AY30" s="20" cm="1">
        <f t="array" ref="AY30">lb_put_price_mc(AY$18,$C$7,$C$8,$C$9,$C$10,$C$11,$C$12,$C$13)</f>
        <v>4.3226128834240303</v>
      </c>
      <c r="AZ30" s="20" cm="1">
        <f t="array" ref="AZ30">lb_put_price_mc(AZ$18,$C$7,$C$8,$C$9,$C$10,$C$11,$C$12,$C$13)</f>
        <v>4.4394402586517074</v>
      </c>
      <c r="BA30" s="20" cm="1">
        <f t="array" ref="BA30">lb_put_price_mc(BA$18,$C$7,$C$8,$C$9,$C$10,$C$11,$C$12,$C$13)</f>
        <v>4.5562676338793864</v>
      </c>
      <c r="BB30" s="20" cm="1">
        <f t="array" ref="BB30">lb_put_price_mc(BB$18,$C$7,$C$8,$C$9,$C$10,$C$11,$C$12,$C$13)</f>
        <v>4.6730950091070591</v>
      </c>
      <c r="BC30" s="20" cm="1">
        <f t="array" ref="BC30">lb_put_price_mc(BC$18,$C$7,$C$8,$C$9,$C$10,$C$11,$C$12,$C$13)</f>
        <v>4.7899223843347416</v>
      </c>
      <c r="BD30" s="20" cm="1">
        <f t="array" ref="BD30">lb_put_price_mc(BD$18,$C$7,$C$8,$C$9,$C$10,$C$11,$C$12,$C$13)</f>
        <v>4.9067497595624143</v>
      </c>
      <c r="BE30" s="20" cm="1">
        <f t="array" ref="BE30">lb_put_price_mc(BE$18,$C$7,$C$8,$C$9,$C$10,$C$11,$C$12,$C$13)</f>
        <v>5.0235771347900915</v>
      </c>
      <c r="BF30" s="20" cm="1">
        <f t="array" ref="BF30">lb_put_price_mc(BF$18,$C$7,$C$8,$C$9,$C$10,$C$11,$C$12,$C$13)</f>
        <v>5.1404045100177704</v>
      </c>
      <c r="BG30" s="20" cm="1">
        <f t="array" ref="BG30">lb_put_price_mc(BG$18,$C$7,$C$8,$C$9,$C$10,$C$11,$C$12,$C$13)</f>
        <v>5.2572318852454449</v>
      </c>
      <c r="BH30" s="20" cm="1">
        <f t="array" ref="BH30">lb_put_price_mc(BH$18,$C$7,$C$8,$C$9,$C$10,$C$11,$C$12,$C$13)</f>
        <v>5.3740592604731194</v>
      </c>
      <c r="BI30" s="20" cm="1">
        <f t="array" ref="BI30">lb_put_price_mc(BI$18,$C$7,$C$8,$C$9,$C$10,$C$11,$C$12,$C$13)</f>
        <v>5.4908866357007975</v>
      </c>
      <c r="BJ30" s="20" cm="1">
        <f t="array" ref="BJ30">lb_put_price_mc(BJ$18,$C$7,$C$8,$C$9,$C$10,$C$11,$C$12,$C$13)</f>
        <v>5.6077140109284755</v>
      </c>
      <c r="BK30" s="20" cm="1">
        <f t="array" ref="BK30">lb_put_price_mc(BK$18,$C$7,$C$8,$C$9,$C$10,$C$11,$C$12,$C$13)</f>
        <v>5.7245413861561518</v>
      </c>
      <c r="BL30" s="20" cm="1">
        <f t="array" ref="BL30">lb_put_price_mc(BL$18,$C$7,$C$8,$C$9,$C$10,$C$11,$C$12,$C$13)</f>
        <v>5.8413687613838281</v>
      </c>
      <c r="BM30" s="20" cm="1">
        <f t="array" ref="BM30">lb_put_price_mc(BM$18,$C$7,$C$8,$C$9,$C$10,$C$11,$C$12,$C$13)</f>
        <v>5.9581961366115062</v>
      </c>
      <c r="BN30" s="20" cm="1">
        <f t="array" ref="BN30">lb_put_price_mc(BN$18,$C$7,$C$8,$C$9,$C$10,$C$11,$C$12,$C$13)</f>
        <v>6.0750235118391789</v>
      </c>
      <c r="BO30" s="20" cm="1">
        <f t="array" ref="BO30">lb_put_price_mc(BO$18,$C$7,$C$8,$C$9,$C$10,$C$11,$C$12,$C$13)</f>
        <v>6.1918508870668569</v>
      </c>
      <c r="BP30" s="20" cm="1">
        <f t="array" ref="BP30">lb_put_price_mc(BP$18,$C$7,$C$8,$C$9,$C$10,$C$11,$C$12,$C$13)</f>
        <v>6.3086782622945323</v>
      </c>
      <c r="BQ30" s="20" cm="1">
        <f t="array" ref="BQ30">lb_put_price_mc(BQ$18,$C$7,$C$8,$C$9,$C$10,$C$11,$C$12,$C$13)</f>
        <v>6.4255056375222095</v>
      </c>
      <c r="BR30" s="20" cm="1">
        <f t="array" ref="BR30">lb_put_price_mc(BR$18,$C$7,$C$8,$C$9,$C$10,$C$11,$C$12,$C$13)</f>
        <v>6.5423330127498884</v>
      </c>
      <c r="BS30" s="20" cm="1">
        <f t="array" ref="BS30">lb_put_price_mc(BS$18,$C$7,$C$8,$C$9,$C$10,$C$11,$C$12,$C$13)</f>
        <v>6.6591603879775585</v>
      </c>
      <c r="BT30" s="20" cm="1">
        <f t="array" ref="BT30">lb_put_price_mc(BT$18,$C$7,$C$8,$C$9,$C$10,$C$11,$C$12,$C$13)</f>
        <v>6.7759877632052383</v>
      </c>
      <c r="BU30" s="20" cm="1">
        <f t="array" ref="BU30">lb_put_price_mc(BU$18,$C$7,$C$8,$C$9,$C$10,$C$11,$C$12,$C$13)</f>
        <v>6.8928151384329182</v>
      </c>
      <c r="BV30" s="20" cm="1">
        <f t="array" ref="BV30">lb_put_price_mc(BV$18,$C$7,$C$8,$C$9,$C$10,$C$11,$C$12,$C$13)</f>
        <v>7.0096425136605927</v>
      </c>
      <c r="BW30" s="20" cm="1">
        <f t="array" ref="BW30">lb_put_price_mc(BW$18,$C$7,$C$8,$C$9,$C$10,$C$11,$C$12,$C$13)</f>
        <v>7.1264698888882725</v>
      </c>
      <c r="BX30" s="20" cm="1">
        <f t="array" ref="BX30">lb_put_price_mc(BX$18,$C$7,$C$8,$C$9,$C$10,$C$11,$C$12,$C$13)</f>
        <v>7.2432972641159479</v>
      </c>
      <c r="BY30" s="20" cm="1">
        <f t="array" ref="BY30">lb_put_price_mc(BY$18,$C$7,$C$8,$C$9,$C$10,$C$11,$C$12,$C$13)</f>
        <v>7.3601246393436215</v>
      </c>
      <c r="BZ30" s="20" cm="1">
        <f t="array" ref="BZ30">lb_put_price_mc(BZ$18,$C$7,$C$8,$C$9,$C$10,$C$11,$C$12,$C$13)</f>
        <v>7.4769520145713022</v>
      </c>
      <c r="CA30" s="20" cm="1">
        <f t="array" ref="CA30">lb_put_price_mc(CA$18,$C$7,$C$8,$C$9,$C$10,$C$11,$C$12,$C$13)</f>
        <v>7.5937793897989714</v>
      </c>
      <c r="CB30" s="20" cm="1">
        <f t="array" ref="CB30">lb_put_price_mc(CB$18,$C$7,$C$8,$C$9,$C$10,$C$11,$C$12,$C$13)</f>
        <v>7.7106067650266539</v>
      </c>
      <c r="CC30" s="20" cm="1">
        <f t="array" ref="CC30">lb_put_price_mc(CC$18,$C$7,$C$8,$C$9,$C$10,$C$11,$C$12,$C$13)</f>
        <v>7.8274341402543257</v>
      </c>
      <c r="CD30" s="20" cm="1">
        <f t="array" ref="CD30">lb_put_price_mc(CD$18,$C$7,$C$8,$C$9,$C$10,$C$11,$C$12,$C$13)</f>
        <v>7.9442615154820064</v>
      </c>
      <c r="CE30" s="20" cm="1">
        <f t="array" ref="CE30">lb_put_price_mc(CE$18,$C$7,$C$8,$C$9,$C$10,$C$11,$C$12,$C$13)</f>
        <v>8.0610888907096818</v>
      </c>
      <c r="CF30" s="20" cm="1">
        <f t="array" ref="CF30">lb_put_price_mc(CF$18,$C$7,$C$8,$C$9,$C$10,$C$11,$C$12,$C$13)</f>
        <v>8.1779162659373554</v>
      </c>
      <c r="CG30" s="20" cm="1">
        <f t="array" ref="CG30">lb_put_price_mc(CG$18,$C$7,$C$8,$C$9,$C$10,$C$11,$C$12,$C$13)</f>
        <v>8.2947436411650344</v>
      </c>
      <c r="CH30" s="20" cm="1">
        <f t="array" ref="CH30">lb_put_price_mc(CH$18,$C$7,$C$8,$C$9,$C$10,$C$11,$C$12,$C$13)</f>
        <v>8.4115710163927098</v>
      </c>
      <c r="CI30" s="20" cm="1">
        <f t="array" ref="CI30">lb_put_price_mc(CI$18,$C$7,$C$8,$C$9,$C$10,$C$11,$C$12,$C$13)</f>
        <v>8.5283983916203905</v>
      </c>
      <c r="CJ30" s="20" cm="1">
        <f t="array" ref="CJ30">lb_put_price_mc(CJ$18,$C$7,$C$8,$C$9,$C$10,$C$11,$C$12,$C$13)</f>
        <v>8.6452257668480605</v>
      </c>
      <c r="CK30" s="20" cm="1">
        <f t="array" ref="CK30">lb_put_price_mc(CK$18,$C$7,$C$8,$C$9,$C$10,$C$11,$C$12,$C$13)</f>
        <v>8.7620531420757359</v>
      </c>
      <c r="CL30" s="20" cm="1">
        <f t="array" ref="CL30">lb_put_price_mc(CL$18,$C$7,$C$8,$C$9,$C$10,$C$11,$C$12,$C$13)</f>
        <v>8.8788805173034149</v>
      </c>
      <c r="CM30" s="20" cm="1">
        <f t="array" ref="CM30">lb_put_price_mc(CM$18,$C$7,$C$8,$C$9,$C$10,$C$11,$C$12,$C$13)</f>
        <v>8.995707892531092</v>
      </c>
      <c r="CN30" s="20" cm="1">
        <f t="array" ref="CN30">lb_put_price_mc(CN$18,$C$7,$C$8,$C$9,$C$10,$C$11,$C$12,$C$13)</f>
        <v>9.1125352677587728</v>
      </c>
      <c r="CO30" s="20" cm="1">
        <f t="array" ref="CO30">lb_put_price_mc(CO$18,$C$7,$C$8,$C$9,$C$10,$C$11,$C$12,$C$13)</f>
        <v>9.2293626429864499</v>
      </c>
      <c r="CP30" s="20" cm="1">
        <f t="array" ref="CP30">lb_put_price_mc(CP$18,$C$7,$C$8,$C$9,$C$10,$C$11,$C$12,$C$13)</f>
        <v>9.3461900182141182</v>
      </c>
      <c r="CQ30" s="20" cm="1">
        <f t="array" ref="CQ30">lb_put_price_mc(CQ$18,$C$7,$C$8,$C$9,$C$10,$C$11,$C$12,$C$13)</f>
        <v>9.4630173934417954</v>
      </c>
      <c r="CR30" s="20" cm="1">
        <f t="array" ref="CR30">lb_put_price_mc(CR$18,$C$7,$C$8,$C$9,$C$10,$C$11,$C$12,$C$13)</f>
        <v>9.5798447686694832</v>
      </c>
      <c r="CS30" s="20" cm="1">
        <f t="array" ref="CS30">lb_put_price_mc(CS$18,$C$7,$C$8,$C$9,$C$10,$C$11,$C$12,$C$13)</f>
        <v>9.6966721438971479</v>
      </c>
      <c r="CT30" s="20" cm="1">
        <f t="array" ref="CT30">lb_put_price_mc(CT$18,$C$7,$C$8,$C$9,$C$10,$C$11,$C$12,$C$13)</f>
        <v>9.8134995191248287</v>
      </c>
      <c r="CU30" s="20" cm="1">
        <f t="array" ref="CU30">lb_put_price_mc(CU$18,$C$7,$C$8,$C$9,$C$10,$C$11,$C$12,$C$13)</f>
        <v>9.930326894352504</v>
      </c>
      <c r="CV30" s="20" cm="1">
        <f t="array" ref="CV30">lb_put_price_mc(CV$18,$C$7,$C$8,$C$9,$C$10,$C$11,$C$12,$C$13)</f>
        <v>10.047154269580183</v>
      </c>
      <c r="CW30" s="20" cm="1">
        <f t="array" ref="CW30">lb_put_price_mc(CW$18,$C$7,$C$8,$C$9,$C$10,$C$11,$C$12,$C$13)</f>
        <v>10.163981644807857</v>
      </c>
      <c r="CX30" s="20" cm="1">
        <f t="array" ref="CX30">lb_put_price_mc(CX$18,$C$7,$C$8,$C$9,$C$10,$C$11,$C$12,$C$13)</f>
        <v>10.280809020035541</v>
      </c>
      <c r="CY30" s="20" cm="1">
        <f t="array" ref="CY30">lb_put_price_mc(CY$18,$C$7,$C$8,$C$9,$C$10,$C$11,$C$12,$C$13)</f>
        <v>10.397636395263216</v>
      </c>
      <c r="CZ30" s="20" cm="1">
        <f t="array" ref="CZ30">lb_put_price_mc(CZ$18,$C$7,$C$8,$C$9,$C$10,$C$11,$C$12,$C$13)</f>
        <v>10.51446377049089</v>
      </c>
      <c r="DA30" s="20" cm="1">
        <f t="array" ref="DA30">lb_put_price_mc(DA$18,$C$7,$C$8,$C$9,$C$10,$C$11,$C$12,$C$13)</f>
        <v>10.631291145718569</v>
      </c>
      <c r="DB30" s="20" cm="1">
        <f t="array" ref="DB30">lb_put_price_mc(DB$18,$C$7,$C$8,$C$9,$C$10,$C$11,$C$12,$C$13)</f>
        <v>10.748118520946239</v>
      </c>
      <c r="DC30" s="20" cm="1">
        <f t="array" ref="DC30">lb_put_price_mc(DC$18,$C$7,$C$8,$C$9,$C$10,$C$11,$C$12,$C$13)</f>
        <v>10.864945896173923</v>
      </c>
      <c r="DD30" s="20" cm="1">
        <f t="array" ref="DD30">lb_put_price_mc(DD$18,$C$7,$C$8,$C$9,$C$10,$C$11,$C$12,$C$13)</f>
        <v>10.981773271401595</v>
      </c>
      <c r="DE30" s="20" cm="1">
        <f t="array" ref="DE30">lb_put_price_mc(DE$18,$C$7,$C$8,$C$9,$C$10,$C$11,$C$12,$C$13)</f>
        <v>11.09860064662927</v>
      </c>
      <c r="DF30" s="20" cm="1">
        <f t="array" ref="DF30">lb_put_price_mc(DF$18,$C$7,$C$8,$C$9,$C$10,$C$11,$C$12,$C$13)</f>
        <v>11.215428021856951</v>
      </c>
      <c r="DG30" s="20" cm="1">
        <f t="array" ref="DG30">lb_put_price_mc(DG$18,$C$7,$C$8,$C$9,$C$10,$C$11,$C$12,$C$13)</f>
        <v>11.332255397084618</v>
      </c>
      <c r="DH30" s="20" cm="1">
        <f t="array" ref="DH30">lb_put_price_mc(DH$18,$C$7,$C$8,$C$9,$C$10,$C$11,$C$12,$C$13)</f>
        <v>11.449082772312304</v>
      </c>
      <c r="DI30" s="20" cm="1">
        <f t="array" ref="DI30">lb_put_price_mc(DI$18,$C$7,$C$8,$C$9,$C$10,$C$11,$C$12,$C$13)</f>
        <v>11.565910147539977</v>
      </c>
      <c r="DJ30" s="20" cm="1">
        <f t="array" ref="DJ30">lb_put_price_mc(DJ$18,$C$7,$C$8,$C$9,$C$10,$C$11,$C$12,$C$13)</f>
        <v>11.682737522767656</v>
      </c>
    </row>
    <row r="31" spans="1:117" ht="20.55" customHeight="1" x14ac:dyDescent="0.45">
      <c r="N31" s="20" t="s">
        <v>46</v>
      </c>
      <c r="O31" s="20" cm="1">
        <f t="array" ref="O31">lb_call_delta_mc(O$18,$C$7,$C$8,$C$9,$C$10,$C$11,$C$12,$C$13)</f>
        <v>0.1854736180040289</v>
      </c>
      <c r="P31" s="20" cm="1">
        <f t="array" ref="P31">lb_call_delta_mc(P$18,$C$7,$C$8,$C$9,$C$10,$C$11,$C$12,$C$13)</f>
        <v>0.1854736180040289</v>
      </c>
      <c r="Q31" s="20" cm="1">
        <f t="array" ref="Q31">lb_call_delta_mc(Q$18,$C$7,$C$8,$C$9,$C$10,$C$11,$C$12,$C$13)</f>
        <v>0.1854736180041977</v>
      </c>
      <c r="R31" s="20" cm="1">
        <f t="array" ref="R31">lb_call_delta_mc(R$18,$C$7,$C$8,$C$9,$C$10,$C$11,$C$12,$C$13)</f>
        <v>0.1854736180040289</v>
      </c>
      <c r="S31" s="20" cm="1">
        <f t="array" ref="S31">lb_call_delta_mc(S$18,$C$7,$C$8,$C$9,$C$10,$C$11,$C$12,$C$13)</f>
        <v>0.18547361800436588</v>
      </c>
      <c r="T31" s="20" cm="1">
        <f t="array" ref="T31">lb_call_delta_mc(T$18,$C$7,$C$8,$C$9,$C$10,$C$11,$C$12,$C$13)</f>
        <v>0.1854736180041977</v>
      </c>
      <c r="U31" s="20" cm="1">
        <f t="array" ref="U31">lb_call_delta_mc(U$18,$C$7,$C$8,$C$9,$C$10,$C$11,$C$12,$C$13)</f>
        <v>0.18547361800392709</v>
      </c>
      <c r="V31" s="20" cm="1">
        <f t="array" ref="V31">lb_call_delta_mc(V$18,$C$7,$C$8,$C$9,$C$10,$C$11,$C$12,$C$13)</f>
        <v>0.1854736180040289</v>
      </c>
      <c r="W31" s="20" cm="1">
        <f t="array" ref="W31">lb_call_delta_mc(W$18,$C$7,$C$8,$C$9,$C$10,$C$11,$C$12,$C$13)</f>
        <v>0.18547361800396348</v>
      </c>
      <c r="X31" s="20" cm="1">
        <f t="array" ref="X31">lb_call_delta_mc(X$18,$C$7,$C$8,$C$9,$C$10,$C$11,$C$12,$C$13)</f>
        <v>0.18547361800436588</v>
      </c>
      <c r="Y31" s="20" cm="1">
        <f t="array" ref="Y31">lb_call_delta_mc(Y$18,$C$7,$C$8,$C$9,$C$10,$C$11,$C$12,$C$13)</f>
        <v>0.18547361800435502</v>
      </c>
      <c r="Z31" s="20" cm="1">
        <f t="array" ref="Z31">lb_call_delta_mc(Z$18,$C$7,$C$8,$C$9,$C$10,$C$11,$C$12,$C$13)</f>
        <v>0.1854736180041977</v>
      </c>
      <c r="AA31" s="20" cm="1">
        <f t="array" ref="AA31">lb_call_delta_mc(AA$18,$C$7,$C$8,$C$9,$C$10,$C$11,$C$12,$C$13)</f>
        <v>0.18547361800433984</v>
      </c>
      <c r="AB31" s="20" cm="1">
        <f t="array" ref="AB31">lb_call_delta_mc(AB$18,$C$7,$C$8,$C$9,$C$10,$C$11,$C$12,$C$13)</f>
        <v>0.18547361800392709</v>
      </c>
      <c r="AC31" s="20" cm="1">
        <f t="array" ref="AC31">lb_call_delta_mc(AC$18,$C$7,$C$8,$C$9,$C$10,$C$11,$C$12,$C$13)</f>
        <v>0.18547361800372089</v>
      </c>
      <c r="AD31" s="20" cm="1">
        <f t="array" ref="AD31">lb_call_delta_mc(AD$18,$C$7,$C$8,$C$9,$C$10,$C$11,$C$12,$C$13)</f>
        <v>0.1854736180040289</v>
      </c>
      <c r="AE31" s="20" cm="1">
        <f t="array" ref="AE31">lb_call_delta_mc(AE$18,$C$7,$C$8,$C$9,$C$10,$C$11,$C$12,$C$13)</f>
        <v>0.18547361800350279</v>
      </c>
      <c r="AF31" s="20" cm="1">
        <f t="array" ref="AF31">lb_call_delta_mc(AF$18,$C$7,$C$8,$C$9,$C$10,$C$11,$C$12,$C$13)</f>
        <v>0.18547361800396348</v>
      </c>
      <c r="AG31" s="20" cm="1">
        <f t="array" ref="AG31">lb_call_delta_mc(AG$18,$C$7,$C$8,$C$9,$C$10,$C$11,$C$12,$C$13)</f>
        <v>0.18547361800427301</v>
      </c>
      <c r="AH31" s="20" cm="1">
        <f t="array" ref="AH31">lb_call_delta_mc(AH$18,$C$7,$C$8,$C$9,$C$10,$C$11,$C$12,$C$13)</f>
        <v>0.18547361800436588</v>
      </c>
      <c r="AI31" s="20" cm="1">
        <f t="array" ref="AI31">lb_call_delta_mc(AI$18,$C$7,$C$8,$C$9,$C$10,$C$11,$C$12,$C$13)</f>
        <v>0.18547361800382189</v>
      </c>
      <c r="AJ31" s="20" cm="1">
        <f t="array" ref="AJ31">lb_call_delta_mc(AJ$18,$C$7,$C$8,$C$9,$C$10,$C$11,$C$12,$C$13)</f>
        <v>0.18547361800435502</v>
      </c>
      <c r="AK31" s="20" cm="1">
        <f t="array" ref="AK31">lb_call_delta_mc(AK$18,$C$7,$C$8,$C$9,$C$10,$C$11,$C$12,$C$13)</f>
        <v>0.1854736180042669</v>
      </c>
      <c r="AL31" s="20" cm="1">
        <f t="array" ref="AL31">lb_call_delta_mc(AL$18,$C$7,$C$8,$C$9,$C$10,$C$11,$C$12,$C$13)</f>
        <v>0.1854736180041977</v>
      </c>
      <c r="AM31" s="20" cm="1">
        <f t="array" ref="AM31">lb_call_delta_mc(AM$18,$C$7,$C$8,$C$9,$C$10,$C$11,$C$12,$C$13)</f>
        <v>0.18547361800430867</v>
      </c>
      <c r="AN31" s="20" cm="1">
        <f t="array" ref="AN31">lb_call_delta_mc(AN$18,$C$7,$C$8,$C$9,$C$10,$C$11,$C$12,$C$13)</f>
        <v>0.18547361800433984</v>
      </c>
      <c r="AO31" s="20" cm="1">
        <f t="array" ref="AO31">lb_call_delta_mc(AO$18,$C$7,$C$8,$C$9,$C$10,$C$11,$C$12,$C$13)</f>
        <v>0.18547361800436496</v>
      </c>
      <c r="AP31" s="20" cm="1">
        <f t="array" ref="AP31">lb_call_delta_mc(AP$18,$C$7,$C$8,$C$9,$C$10,$C$11,$C$12,$C$13)</f>
        <v>0.18547361800392709</v>
      </c>
      <c r="AQ31" s="20" cm="1">
        <f t="array" ref="AQ31">lb_call_delta_mc(AQ$18,$C$7,$C$8,$C$9,$C$10,$C$11,$C$12,$C$13)</f>
        <v>0.18547361800413245</v>
      </c>
      <c r="AR31" s="20" cm="1">
        <f t="array" ref="AR31">lb_call_delta_mc(AR$18,$C$7,$C$8,$C$9,$C$10,$C$11,$C$12,$C$13)</f>
        <v>0.18547361800372089</v>
      </c>
      <c r="AS31" s="20" cm="1">
        <f t="array" ref="AS31">lb_call_delta_mc(AS$18,$C$7,$C$8,$C$9,$C$10,$C$11,$C$12,$C$13)</f>
        <v>0.18547361800458179</v>
      </c>
      <c r="AT31" s="20" cm="1">
        <f t="array" ref="AT31">lb_call_delta_mc(AT$18,$C$7,$C$8,$C$9,$C$10,$C$11,$C$12,$C$13)</f>
        <v>0.1854736180040289</v>
      </c>
      <c r="AU31" s="20" cm="1">
        <f t="array" ref="AU31">lb_call_delta_mc(AU$18,$C$7,$C$8,$C$9,$C$10,$C$11,$C$12,$C$13)</f>
        <v>0.18547361800398146</v>
      </c>
      <c r="AV31" s="20" cm="1">
        <f t="array" ref="AV31">lb_call_delta_mc(AV$18,$C$7,$C$8,$C$9,$C$10,$C$11,$C$12,$C$13)</f>
        <v>0.18547361800350279</v>
      </c>
      <c r="AW31" s="20" cm="1">
        <f t="array" ref="AW31">lb_call_delta_mc(AW$18,$C$7,$C$8,$C$9,$C$10,$C$11,$C$12,$C$13)</f>
        <v>0.18547361800429771</v>
      </c>
      <c r="AX31" s="20" cm="1">
        <f t="array" ref="AX31">lb_call_delta_mc(AX$18,$C$7,$C$8,$C$9,$C$10,$C$11,$C$12,$C$13)</f>
        <v>0.18547361800396348</v>
      </c>
      <c r="AY31" s="20" cm="1">
        <f t="array" ref="AY31">lb_call_delta_mc(AY$18,$C$7,$C$8,$C$9,$C$10,$C$11,$C$12,$C$13)</f>
        <v>0.18547361800400314</v>
      </c>
      <c r="AZ31" s="20" cm="1">
        <f t="array" ref="AZ31">lb_call_delta_mc(AZ$18,$C$7,$C$8,$C$9,$C$10,$C$11,$C$12,$C$13)</f>
        <v>0.18547361800427301</v>
      </c>
      <c r="BA31" s="20" cm="1">
        <f t="array" ref="BA31">lb_call_delta_mc(BA$18,$C$7,$C$8,$C$9,$C$10,$C$11,$C$12,$C$13)</f>
        <v>0.18547361800414708</v>
      </c>
      <c r="BB31" s="20" cm="1">
        <f t="array" ref="BB31">lb_call_delta_mc(BB$18,$C$7,$C$8,$C$9,$C$10,$C$11,$C$12,$C$13)</f>
        <v>0.18547361800436588</v>
      </c>
      <c r="BC31" s="20" cm="1">
        <f t="array" ref="BC31">lb_call_delta_mc(BC$18,$C$7,$C$8,$C$9,$C$10,$C$11,$C$12,$C$13)</f>
        <v>0.18547361800398524</v>
      </c>
      <c r="BD31" s="20" cm="1">
        <f t="array" ref="BD31">lb_call_delta_mc(BD$18,$C$7,$C$8,$C$9,$C$10,$C$11,$C$12,$C$13)</f>
        <v>0.18547361800382189</v>
      </c>
      <c r="BE31" s="20" cm="1">
        <f t="array" ref="BE31">lb_call_delta_mc(BE$18,$C$7,$C$8,$C$9,$C$10,$C$11,$C$12,$C$13)</f>
        <v>0.18547361800380252</v>
      </c>
      <c r="BF31" s="20" cm="1">
        <f t="array" ref="BF31">lb_call_delta_mc(BF$18,$C$7,$C$8,$C$9,$C$10,$C$11,$C$12,$C$13)</f>
        <v>0.18547361800435502</v>
      </c>
      <c r="BG31" s="20" cm="1">
        <f t="array" ref="BG31">lb_call_delta_mc(BG$18,$C$7,$C$8,$C$9,$C$10,$C$11,$C$12,$C$13)</f>
        <v>0.18547361800426007</v>
      </c>
      <c r="BH31" s="20" cm="1">
        <f t="array" ref="BH31">lb_call_delta_mc(BH$18,$C$7,$C$8,$C$9,$C$10,$C$11,$C$12,$C$13)</f>
        <v>0.1854736180042669</v>
      </c>
      <c r="BI31" s="20" cm="1">
        <f t="array" ref="BI31">lb_call_delta_mc(BI$18,$C$7,$C$8,$C$9,$C$10,$C$11,$C$12,$C$13)</f>
        <v>0.18547361800414863</v>
      </c>
      <c r="BJ31" s="20" cm="1">
        <f t="array" ref="BJ31">lb_call_delta_mc(BJ$18,$C$7,$C$8,$C$9,$C$10,$C$11,$C$12,$C$13)</f>
        <v>0.1854736180041977</v>
      </c>
      <c r="BK31" s="20" cm="1">
        <f t="array" ref="BK31">lb_call_delta_mc(BK$18,$C$7,$C$8,$C$9,$C$10,$C$11,$C$12,$C$13)</f>
        <v>0.18547361800406212</v>
      </c>
      <c r="BL31" s="20" cm="1">
        <f t="array" ref="BL31">lb_call_delta_mc(BL$18,$C$7,$C$8,$C$9,$C$10,$C$11,$C$12,$C$13)</f>
        <v>0.18547361800430867</v>
      </c>
      <c r="BM31" s="20" cm="1">
        <f t="array" ref="BM31">lb_call_delta_mc(BM$18,$C$7,$C$8,$C$9,$C$10,$C$11,$C$12,$C$13)</f>
        <v>0.18547361800357109</v>
      </c>
      <c r="BN31" s="20" cm="1">
        <f t="array" ref="BN31">lb_call_delta_mc(BN$18,$C$7,$C$8,$C$9,$C$10,$C$11,$C$12,$C$13)</f>
        <v>0.18547361800433984</v>
      </c>
      <c r="BO31" s="20" cm="1">
        <f t="array" ref="BO31">lb_call_delta_mc(BO$18,$C$7,$C$8,$C$9,$C$10,$C$11,$C$12,$C$13)</f>
        <v>0.18547361800377105</v>
      </c>
      <c r="BP31" s="20" cm="1">
        <f t="array" ref="BP31">lb_call_delta_mc(BP$18,$C$7,$C$8,$C$9,$C$10,$C$11,$C$12,$C$13)</f>
        <v>0.18547361800436496</v>
      </c>
      <c r="BQ31" s="20" cm="1">
        <f t="array" ref="BQ31">lb_call_delta_mc(BQ$18,$C$7,$C$8,$C$9,$C$10,$C$11,$C$12,$C$13)</f>
        <v>0.18547361800383533</v>
      </c>
      <c r="BR31" s="20" cm="1">
        <f t="array" ref="BR31">lb_call_delta_mc(BR$18,$C$7,$C$8,$C$9,$C$10,$C$11,$C$12,$C$13)</f>
        <v>0.18547361800392709</v>
      </c>
      <c r="BS31" s="20" cm="1">
        <f t="array" ref="BS31">lb_call_delta_mc(BS$18,$C$7,$C$8,$C$9,$C$10,$C$11,$C$12,$C$13)</f>
        <v>0.18547361800329421</v>
      </c>
      <c r="BT31" s="20" cm="1">
        <f t="array" ref="BT31">lb_call_delta_mc(BT$18,$C$7,$C$8,$C$9,$C$10,$C$11,$C$12,$C$13)</f>
        <v>0.18547361800413245</v>
      </c>
      <c r="BU31" s="20" cm="1">
        <f t="array" ref="BU31">lb_call_delta_mc(BU$18,$C$7,$C$8,$C$9,$C$10,$C$11,$C$12,$C$13)</f>
        <v>0.18547361800365392</v>
      </c>
      <c r="BV31" s="20" cm="1">
        <f t="array" ref="BV31">lb_call_delta_mc(BV$18,$C$7,$C$8,$C$9,$C$10,$C$11,$C$12,$C$13)</f>
        <v>0.18547361800372089</v>
      </c>
      <c r="BW31" s="20" cm="1">
        <f t="array" ref="BW31">lb_call_delta_mc(BW$18,$C$7,$C$8,$C$9,$C$10,$C$11,$C$12,$C$13)</f>
        <v>0.18547361800400702</v>
      </c>
      <c r="BX31" s="20" cm="1">
        <f t="array" ref="BX31">lb_call_delta_mc(BX$18,$C$7,$C$8,$C$9,$C$10,$C$11,$C$12,$C$13)</f>
        <v>0.18547361800458179</v>
      </c>
      <c r="BY31" s="20" cm="1">
        <f t="array" ref="BY31">lb_call_delta_mc(BY$18,$C$7,$C$8,$C$9,$C$10,$C$11,$C$12,$C$13)</f>
        <v>0.1854736180039481</v>
      </c>
      <c r="BZ31" s="20" cm="1">
        <f t="array" ref="BZ31">lb_call_delta_mc(BZ$18,$C$7,$C$8,$C$9,$C$10,$C$11,$C$12,$C$13)</f>
        <v>0.1854736180040289</v>
      </c>
      <c r="CA31" s="20" cm="1">
        <f t="array" ref="CA31">lb_call_delta_mc(CA$18,$C$7,$C$8,$C$9,$C$10,$C$11,$C$12,$C$13)</f>
        <v>0.18547361800392498</v>
      </c>
      <c r="CB31" s="20" cm="1">
        <f t="array" ref="CB31">lb_call_delta_mc(CB$18,$C$7,$C$8,$C$9,$C$10,$C$11,$C$12,$C$13)</f>
        <v>0.18547361800398146</v>
      </c>
      <c r="CC31" s="20" cm="1">
        <f t="array" ref="CC31">lb_call_delta_mc(CC$18,$C$7,$C$8,$C$9,$C$10,$C$11,$C$12,$C$13)</f>
        <v>0.18547361800428899</v>
      </c>
      <c r="CD31" s="20" cm="1">
        <f t="array" ref="CD31">lb_call_delta_mc(CD$18,$C$7,$C$8,$C$9,$C$10,$C$11,$C$12,$C$13)</f>
        <v>0.18547361800350279</v>
      </c>
      <c r="CE31" s="20" cm="1">
        <f t="array" ref="CE31">lb_call_delta_mc(CE$18,$C$7,$C$8,$C$9,$C$10,$C$11,$C$12,$C$13)</f>
        <v>0.18547361800451778</v>
      </c>
      <c r="CF31" s="20" cm="1">
        <f t="array" ref="CF31">lb_call_delta_mc(CF$18,$C$7,$C$8,$C$9,$C$10,$C$11,$C$12,$C$13)</f>
        <v>0.18547361800429771</v>
      </c>
      <c r="CG31" s="20" cm="1">
        <f t="array" ref="CG31">lb_call_delta_mc(CG$18,$C$7,$C$8,$C$9,$C$10,$C$11,$C$12,$C$13)</f>
        <v>0.1854736180038915</v>
      </c>
      <c r="CH31" s="20" cm="1">
        <f t="array" ref="CH31">lb_call_delta_mc(CH$18,$C$7,$C$8,$C$9,$C$10,$C$11,$C$12,$C$13)</f>
        <v>0.18547361800396348</v>
      </c>
      <c r="CI31" s="20" cm="1">
        <f t="array" ref="CI31">lb_call_delta_mc(CI$18,$C$7,$C$8,$C$9,$C$10,$C$11,$C$12,$C$13)</f>
        <v>0.18547361800336351</v>
      </c>
      <c r="CJ31" s="20" cm="1">
        <f t="array" ref="CJ31">lb_call_delta_mc(CJ$18,$C$7,$C$8,$C$9,$C$10,$C$11,$C$12,$C$13)</f>
        <v>0.18547361800400314</v>
      </c>
      <c r="CK31" s="20" cm="1">
        <f t="array" ref="CK31">lb_call_delta_mc(CK$18,$C$7,$C$8,$C$9,$C$10,$C$11,$C$12,$C$13)</f>
        <v>0.1854736180041256</v>
      </c>
      <c r="CL31" s="20" cm="1">
        <f t="array" ref="CL31">lb_call_delta_mc(CL$18,$C$7,$C$8,$C$9,$C$10,$C$11,$C$12,$C$13)</f>
        <v>0.18547361800427301</v>
      </c>
      <c r="CM31" s="20" cm="1">
        <f t="array" ref="CM31">lb_call_delta_mc(CM$18,$C$7,$C$8,$C$9,$C$10,$C$11,$C$12,$C$13)</f>
        <v>0.18547361800429457</v>
      </c>
      <c r="CN31" s="20" cm="1">
        <f t="array" ref="CN31">lb_call_delta_mc(CN$18,$C$7,$C$8,$C$9,$C$10,$C$11,$C$12,$C$13)</f>
        <v>0.18547361800414708</v>
      </c>
      <c r="CO31" s="20" cm="1">
        <f t="array" ref="CO31">lb_call_delta_mc(CO$18,$C$7,$C$8,$C$9,$C$10,$C$11,$C$12,$C$13)</f>
        <v>0.18547361800418358</v>
      </c>
      <c r="CP31" s="20" cm="1">
        <f t="array" ref="CP31">lb_call_delta_mc(CP$18,$C$7,$C$8,$C$9,$C$10,$C$11,$C$12,$C$13)</f>
        <v>0.18547361800436588</v>
      </c>
      <c r="CQ31" s="20" cm="1">
        <f t="array" ref="CQ31">lb_call_delta_mc(CQ$18,$C$7,$C$8,$C$9,$C$10,$C$11,$C$12,$C$13)</f>
        <v>0.1854736180042186</v>
      </c>
      <c r="CR31" s="20" cm="1">
        <f t="array" ref="CR31">lb_call_delta_mc(CR$18,$C$7,$C$8,$C$9,$C$10,$C$11,$C$12,$C$13)</f>
        <v>0.18547361800398524</v>
      </c>
      <c r="CS31" s="20" cm="1">
        <f t="array" ref="CS31">lb_call_delta_mc(CS$18,$C$7,$C$8,$C$9,$C$10,$C$11,$C$12,$C$13)</f>
        <v>0.18547361800369047</v>
      </c>
      <c r="CT31" s="20" cm="1">
        <f t="array" ref="CT31">lb_call_delta_mc(CT$18,$C$7,$C$8,$C$9,$C$10,$C$11,$C$12,$C$13)</f>
        <v>0.18547361800382189</v>
      </c>
      <c r="CU31" s="20" cm="1">
        <f t="array" ref="CU31">lb_call_delta_mc(CU$18,$C$7,$C$8,$C$9,$C$10,$C$11,$C$12,$C$13)</f>
        <v>0.18547361800392811</v>
      </c>
      <c r="CV31" s="20" cm="1">
        <f t="array" ref="CV31">lb_call_delta_mc(CV$18,$C$7,$C$8,$C$9,$C$10,$C$11,$C$12,$C$13)</f>
        <v>0.18547361800380252</v>
      </c>
      <c r="CW31" s="20" cm="1">
        <f t="array" ref="CW31">lb_call_delta_mc(CW$18,$C$7,$C$8,$C$9,$C$10,$C$11,$C$12,$C$13)</f>
        <v>0.18547361800404721</v>
      </c>
      <c r="CX31" s="20" cm="1">
        <f t="array" ref="CX31">lb_call_delta_mc(CX$18,$C$7,$C$8,$C$9,$C$10,$C$11,$C$12,$C$13)</f>
        <v>0.18547361800435502</v>
      </c>
      <c r="CY31" s="20" cm="1">
        <f t="array" ref="CY31">lb_call_delta_mc(CY$18,$C$7,$C$8,$C$9,$C$10,$C$11,$C$12,$C$13)</f>
        <v>0.18547361800379897</v>
      </c>
      <c r="CZ31" s="20" cm="1">
        <f t="array" ref="CZ31">lb_call_delta_mc(CZ$18,$C$7,$C$8,$C$9,$C$10,$C$11,$C$12,$C$13)</f>
        <v>0.18547361800426007</v>
      </c>
      <c r="DA31" s="20" cm="1">
        <f t="array" ref="DA31">lb_call_delta_mc(DA$18,$C$7,$C$8,$C$9,$C$10,$C$11,$C$12,$C$13)</f>
        <v>0.18547361800394502</v>
      </c>
      <c r="DB31" s="20" cm="1">
        <f t="array" ref="DB31">lb_call_delta_mc(DB$18,$C$7,$C$8,$C$9,$C$10,$C$11,$C$12,$C$13)</f>
        <v>0.1854736180042669</v>
      </c>
      <c r="DC31" s="20" cm="1">
        <f t="array" ref="DC31">lb_call_delta_mc(DC$18,$C$7,$C$8,$C$9,$C$10,$C$11,$C$12,$C$13)</f>
        <v>0.18547361800339668</v>
      </c>
      <c r="DD31" s="20" cm="1">
        <f t="array" ref="DD31">lb_call_delta_mc(DD$18,$C$7,$C$8,$C$9,$C$10,$C$11,$C$12,$C$13)</f>
        <v>0.18547361800414863</v>
      </c>
      <c r="DE31" s="20" cm="1">
        <f t="array" ref="DE31">lb_call_delta_mc(DE$18,$C$7,$C$8,$C$9,$C$10,$C$11,$C$12,$C$13)</f>
        <v>0.18547361800379525</v>
      </c>
      <c r="DF31" s="20" cm="1">
        <f t="array" ref="DF31">lb_call_delta_mc(DF$18,$C$7,$C$8,$C$9,$C$10,$C$11,$C$12,$C$13)</f>
        <v>0.1854736180041977</v>
      </c>
      <c r="DG31" s="20" cm="1">
        <f t="array" ref="DG31">lb_call_delta_mc(DG$18,$C$7,$C$8,$C$9,$C$10,$C$11,$C$12,$C$13)</f>
        <v>0.18547361800428749</v>
      </c>
      <c r="DH31" s="20" cm="1">
        <f t="array" ref="DH31">lb_call_delta_mc(DH$18,$C$7,$C$8,$C$9,$C$10,$C$11,$C$12,$C$13)</f>
        <v>0.18547361800406212</v>
      </c>
      <c r="DI31" s="20" cm="1">
        <f t="array" ref="DI31">lb_call_delta_mc(DI$18,$C$7,$C$8,$C$9,$C$10,$C$11,$C$12,$C$13)</f>
        <v>0.18547361800384074</v>
      </c>
      <c r="DJ31" s="20" cm="1">
        <f t="array" ref="DJ31">lb_call_delta_mc(DJ$18,$C$7,$C$8,$C$9,$C$10,$C$11,$C$12,$C$13)</f>
        <v>0.18547361800430867</v>
      </c>
    </row>
    <row r="32" spans="1:117" ht="20.55" customHeight="1" x14ac:dyDescent="0.45">
      <c r="N32" s="20" t="s">
        <v>47</v>
      </c>
      <c r="O32" s="20" cm="1">
        <f t="array" ref="O32">lb_put_delta_mc(O$18,$C$7,$C$8,$C$9,$C$10,$C$11,$C$12,$C$13)</f>
        <v>0.11682737522750275</v>
      </c>
      <c r="P32" s="20" cm="1">
        <f t="array" ref="P32">lb_put_delta_mc(P$18,$C$7,$C$8,$C$9,$C$10,$C$11,$C$12,$C$13)</f>
        <v>0.11682737522750275</v>
      </c>
      <c r="Q32" s="20" cm="1">
        <f t="array" ref="Q32">lb_put_delta_mc(Q$18,$C$7,$C$8,$C$9,$C$10,$C$11,$C$12,$C$13)</f>
        <v>0.1168273752277178</v>
      </c>
      <c r="R32" s="20" cm="1">
        <f t="array" ref="R32">lb_put_delta_mc(R$18,$C$7,$C$8,$C$9,$C$10,$C$11,$C$12,$C$13)</f>
        <v>0.11682737522750275</v>
      </c>
      <c r="S32" s="20" cm="1">
        <f t="array" ref="S32">lb_put_delta_mc(S$18,$C$7,$C$8,$C$9,$C$10,$C$11,$C$12,$C$13)</f>
        <v>0.11682737522753557</v>
      </c>
      <c r="T32" s="20" cm="1">
        <f t="array" ref="T32">lb_put_delta_mc(T$18,$C$7,$C$8,$C$9,$C$10,$C$11,$C$12,$C$13)</f>
        <v>0.1168273752277178</v>
      </c>
      <c r="U32" s="20" cm="1">
        <f t="array" ref="U32">lb_put_delta_mc(U$18,$C$7,$C$8,$C$9,$C$10,$C$11,$C$12,$C$13)</f>
        <v>0.11682737522772942</v>
      </c>
      <c r="V32" s="20" cm="1">
        <f t="array" ref="V32">lb_put_delta_mc(V$18,$C$7,$C$8,$C$9,$C$10,$C$11,$C$12,$C$13)</f>
        <v>0.11682737522750275</v>
      </c>
      <c r="W32" s="20" cm="1">
        <f t="array" ref="W32">lb_put_delta_mc(W$18,$C$7,$C$8,$C$9,$C$10,$C$11,$C$12,$C$13)</f>
        <v>0.11682737522791846</v>
      </c>
      <c r="X32" s="20" cm="1">
        <f t="array" ref="X32">lb_put_delta_mc(X$18,$C$7,$C$8,$C$9,$C$10,$C$11,$C$12,$C$13)</f>
        <v>0.11682737522753557</v>
      </c>
      <c r="Y32" s="20" cm="1">
        <f t="array" ref="Y32">lb_put_delta_mc(Y$18,$C$7,$C$8,$C$9,$C$10,$C$11,$C$12,$C$13)</f>
        <v>0.11682737522764582</v>
      </c>
      <c r="Z32" s="20" cm="1">
        <f t="array" ref="Z32">lb_put_delta_mc(Z$18,$C$7,$C$8,$C$9,$C$10,$C$11,$C$12,$C$13)</f>
        <v>0.1168273752277178</v>
      </c>
      <c r="AA32" s="20" cm="1">
        <f t="array" ref="AA32">lb_put_delta_mc(AA$18,$C$7,$C$8,$C$9,$C$10,$C$11,$C$12,$C$13)</f>
        <v>0.11682737522758688</v>
      </c>
      <c r="AB32" s="20" cm="1">
        <f t="array" ref="AB32">lb_put_delta_mc(AB$18,$C$7,$C$8,$C$9,$C$10,$C$11,$C$12,$C$13)</f>
        <v>0.11682737522772942</v>
      </c>
      <c r="AC32" s="20" cm="1">
        <f t="array" ref="AC32">lb_put_delta_mc(AC$18,$C$7,$C$8,$C$9,$C$10,$C$11,$C$12,$C$13)</f>
        <v>0.11682737522777083</v>
      </c>
      <c r="AD32" s="20" cm="1">
        <f t="array" ref="AD32">lb_put_delta_mc(AD$18,$C$7,$C$8,$C$9,$C$10,$C$11,$C$12,$C$13)</f>
        <v>0.11682737522750275</v>
      </c>
      <c r="AE32" s="20" cm="1">
        <f t="array" ref="AE32">lb_put_delta_mc(AE$18,$C$7,$C$8,$C$9,$C$10,$C$11,$C$12,$C$13)</f>
        <v>0.11682737522799878</v>
      </c>
      <c r="AF32" s="20" cm="1">
        <f t="array" ref="AF32">lb_put_delta_mc(AF$18,$C$7,$C$8,$C$9,$C$10,$C$11,$C$12,$C$13)</f>
        <v>0.11682737522791846</v>
      </c>
      <c r="AG32" s="20" cm="1">
        <f t="array" ref="AG32">lb_put_delta_mc(AG$18,$C$7,$C$8,$C$9,$C$10,$C$11,$C$12,$C$13)</f>
        <v>0.11682737522758135</v>
      </c>
      <c r="AH32" s="20" cm="1">
        <f t="array" ref="AH32">lb_put_delta_mc(AH$18,$C$7,$C$8,$C$9,$C$10,$C$11,$C$12,$C$13)</f>
        <v>0.11682737522753557</v>
      </c>
      <c r="AI32" s="20" cm="1">
        <f t="array" ref="AI32">lb_put_delta_mc(AI$18,$C$7,$C$8,$C$9,$C$10,$C$11,$C$12,$C$13)</f>
        <v>0.11682737522778452</v>
      </c>
      <c r="AJ32" s="20" cm="1">
        <f t="array" ref="AJ32">lb_put_delta_mc(AJ$18,$C$7,$C$8,$C$9,$C$10,$C$11,$C$12,$C$13)</f>
        <v>0.11682737522764582</v>
      </c>
      <c r="AK32" s="20" cm="1">
        <f t="array" ref="AK32">lb_put_delta_mc(AK$18,$C$7,$C$8,$C$9,$C$10,$C$11,$C$12,$C$13)</f>
        <v>0.11682737522768333</v>
      </c>
      <c r="AL32" s="20" cm="1">
        <f t="array" ref="AL32">lb_put_delta_mc(AL$18,$C$7,$C$8,$C$9,$C$10,$C$11,$C$12,$C$13)</f>
        <v>0.1168273752277178</v>
      </c>
      <c r="AM32" s="20" cm="1">
        <f t="array" ref="AM32">lb_put_delta_mc(AM$18,$C$7,$C$8,$C$9,$C$10,$C$11,$C$12,$C$13)</f>
        <v>0.11682737522750146</v>
      </c>
      <c r="AN32" s="20" cm="1">
        <f t="array" ref="AN32">lb_put_delta_mc(AN$18,$C$7,$C$8,$C$9,$C$10,$C$11,$C$12,$C$13)</f>
        <v>0.11682737522758688</v>
      </c>
      <c r="AO32" s="20" cm="1">
        <f t="array" ref="AO32">lb_put_delta_mc(AO$18,$C$7,$C$8,$C$9,$C$10,$C$11,$C$12,$C$13)</f>
        <v>0.11682737522767386</v>
      </c>
      <c r="AP32" s="20" cm="1">
        <f t="array" ref="AP32">lb_put_delta_mc(AP$18,$C$7,$C$8,$C$9,$C$10,$C$11,$C$12,$C$13)</f>
        <v>0.11682737522772942</v>
      </c>
      <c r="AQ32" s="20" cm="1">
        <f t="array" ref="AQ32">lb_put_delta_mc(AQ$18,$C$7,$C$8,$C$9,$C$10,$C$11,$C$12,$C$13)</f>
        <v>0.1168273752276127</v>
      </c>
      <c r="AR32" s="20" cm="1">
        <f t="array" ref="AR32">lb_put_delta_mc(AR$18,$C$7,$C$8,$C$9,$C$10,$C$11,$C$12,$C$13)</f>
        <v>0.11682737522777083</v>
      </c>
      <c r="AS32" s="20" cm="1">
        <f t="array" ref="AS32">lb_put_delta_mc(AS$18,$C$7,$C$8,$C$9,$C$10,$C$11,$C$12,$C$13)</f>
        <v>0.11682737522730853</v>
      </c>
      <c r="AT32" s="20" cm="1">
        <f t="array" ref="AT32">lb_put_delta_mc(AT$18,$C$7,$C$8,$C$9,$C$10,$C$11,$C$12,$C$13)</f>
        <v>0.11682737522750275</v>
      </c>
      <c r="AU32" s="20" cm="1">
        <f t="array" ref="AU32">lb_put_delta_mc(AU$18,$C$7,$C$8,$C$9,$C$10,$C$11,$C$12,$C$13)</f>
        <v>0.11682737522763993</v>
      </c>
      <c r="AV32" s="20" cm="1">
        <f t="array" ref="AV32">lb_put_delta_mc(AV$18,$C$7,$C$8,$C$9,$C$10,$C$11,$C$12,$C$13)</f>
        <v>0.11682737522799878</v>
      </c>
      <c r="AW32" s="20" cm="1">
        <f t="array" ref="AW32">lb_put_delta_mc(AW$18,$C$7,$C$8,$C$9,$C$10,$C$11,$C$12,$C$13)</f>
        <v>0.116827375227358</v>
      </c>
      <c r="AX32" s="20" cm="1">
        <f t="array" ref="AX32">lb_put_delta_mc(AX$18,$C$7,$C$8,$C$9,$C$10,$C$11,$C$12,$C$13)</f>
        <v>0.11682737522791846</v>
      </c>
      <c r="AY32" s="20" cm="1">
        <f t="array" ref="AY32">lb_put_delta_mc(AY$18,$C$7,$C$8,$C$9,$C$10,$C$11,$C$12,$C$13)</f>
        <v>0.11682737522798418</v>
      </c>
      <c r="AZ32" s="20" cm="1">
        <f t="array" ref="AZ32">lb_put_delta_mc(AZ$18,$C$7,$C$8,$C$9,$C$10,$C$11,$C$12,$C$13)</f>
        <v>0.11682737522758135</v>
      </c>
      <c r="BA32" s="20" cm="1">
        <f t="array" ref="BA32">lb_put_delta_mc(BA$18,$C$7,$C$8,$C$9,$C$10,$C$11,$C$12,$C$13)</f>
        <v>0.11682737522746509</v>
      </c>
      <c r="BB32" s="20" cm="1">
        <f t="array" ref="BB32">lb_put_delta_mc(BB$18,$C$7,$C$8,$C$9,$C$10,$C$11,$C$12,$C$13)</f>
        <v>0.11682737522753557</v>
      </c>
      <c r="BC32" s="20" cm="1">
        <f t="array" ref="BC32">lb_put_delta_mc(BC$18,$C$7,$C$8,$C$9,$C$10,$C$11,$C$12,$C$13)</f>
        <v>0.11682737522746017</v>
      </c>
      <c r="BD32" s="20" cm="1">
        <f t="array" ref="BD32">lb_put_delta_mc(BD$18,$C$7,$C$8,$C$9,$C$10,$C$11,$C$12,$C$13)</f>
        <v>0.11682737522778452</v>
      </c>
      <c r="BE32" s="20" cm="1">
        <f t="array" ref="BE32">lb_put_delta_mc(BE$18,$C$7,$C$8,$C$9,$C$10,$C$11,$C$12,$C$13)</f>
        <v>0.1168273752278866</v>
      </c>
      <c r="BF32" s="20" cm="1">
        <f t="array" ref="BF32">lb_put_delta_mc(BF$18,$C$7,$C$8,$C$9,$C$10,$C$11,$C$12,$C$13)</f>
        <v>0.11682737522764582</v>
      </c>
      <c r="BG32" s="20" cm="1">
        <f t="array" ref="BG32">lb_put_delta_mc(BG$18,$C$7,$C$8,$C$9,$C$10,$C$11,$C$12,$C$13)</f>
        <v>0.11682737522764067</v>
      </c>
      <c r="BH32" s="20" cm="1">
        <f t="array" ref="BH32">lb_put_delta_mc(BH$18,$C$7,$C$8,$C$9,$C$10,$C$11,$C$12,$C$13)</f>
        <v>0.11682737522768333</v>
      </c>
      <c r="BI32" s="20" cm="1">
        <f t="array" ref="BI32">lb_put_delta_mc(BI$18,$C$7,$C$8,$C$9,$C$10,$C$11,$C$12,$C$13)</f>
        <v>0.11682737522771362</v>
      </c>
      <c r="BJ32" s="20" cm="1">
        <f t="array" ref="BJ32">lb_put_delta_mc(BJ$18,$C$7,$C$8,$C$9,$C$10,$C$11,$C$12,$C$13)</f>
        <v>0.1168273752277178</v>
      </c>
      <c r="BK32" s="20" cm="1">
        <f t="array" ref="BK32">lb_put_delta_mc(BK$18,$C$7,$C$8,$C$9,$C$10,$C$11,$C$12,$C$13)</f>
        <v>0.11682737522788199</v>
      </c>
      <c r="BL32" s="20" cm="1">
        <f t="array" ref="BL32">lb_put_delta_mc(BL$18,$C$7,$C$8,$C$9,$C$10,$C$11,$C$12,$C$13)</f>
        <v>0.11682737522750146</v>
      </c>
      <c r="BM32" s="20" cm="1">
        <f t="array" ref="BM32">lb_put_delta_mc(BM$18,$C$7,$C$8,$C$9,$C$10,$C$11,$C$12,$C$13)</f>
        <v>0.1168273752275405</v>
      </c>
      <c r="BN32" s="20" cm="1">
        <f t="array" ref="BN32">lb_put_delta_mc(BN$18,$C$7,$C$8,$C$9,$C$10,$C$11,$C$12,$C$13)</f>
        <v>0.11682737522758688</v>
      </c>
      <c r="BO32" s="20" cm="1">
        <f t="array" ref="BO32">lb_put_delta_mc(BO$18,$C$7,$C$8,$C$9,$C$10,$C$11,$C$12,$C$13)</f>
        <v>0.11682737522779439</v>
      </c>
      <c r="BP32" s="20" cm="1">
        <f t="array" ref="BP32">lb_put_delta_mc(BP$18,$C$7,$C$8,$C$9,$C$10,$C$11,$C$12,$C$13)</f>
        <v>0.11682737522767386</v>
      </c>
      <c r="BQ32" s="20" cm="1">
        <f t="array" ref="BQ32">lb_put_delta_mc(BQ$18,$C$7,$C$8,$C$9,$C$10,$C$11,$C$12,$C$13)</f>
        <v>0.11682737522762586</v>
      </c>
      <c r="BR32" s="20" cm="1">
        <f t="array" ref="BR32">lb_put_delta_mc(BR$18,$C$7,$C$8,$C$9,$C$10,$C$11,$C$12,$C$13)</f>
        <v>0.11682737522772942</v>
      </c>
      <c r="BS32" s="20" cm="1">
        <f t="array" ref="BS32">lb_put_delta_mc(BS$18,$C$7,$C$8,$C$9,$C$10,$C$11,$C$12,$C$13)</f>
        <v>0.11682737522756427</v>
      </c>
      <c r="BT32" s="20" cm="1">
        <f t="array" ref="BT32">lb_put_delta_mc(BT$18,$C$7,$C$8,$C$9,$C$10,$C$11,$C$12,$C$13)</f>
        <v>0.1168273752276127</v>
      </c>
      <c r="BU32" s="20" cm="1">
        <f t="array" ref="BU32">lb_put_delta_mc(BU$18,$C$7,$C$8,$C$9,$C$10,$C$11,$C$12,$C$13)</f>
        <v>0.11682737522752884</v>
      </c>
      <c r="BV32" s="20" cm="1">
        <f t="array" ref="BV32">lb_put_delta_mc(BV$18,$C$7,$C$8,$C$9,$C$10,$C$11,$C$12,$C$13)</f>
        <v>0.11682737522777083</v>
      </c>
      <c r="BW32" s="20" cm="1">
        <f t="array" ref="BW32">lb_put_delta_mc(BW$18,$C$7,$C$8,$C$9,$C$10,$C$11,$C$12,$C$13)</f>
        <v>0.11682737522796545</v>
      </c>
      <c r="BX32" s="20" cm="1">
        <f t="array" ref="BX32">lb_put_delta_mc(BX$18,$C$7,$C$8,$C$9,$C$10,$C$11,$C$12,$C$13)</f>
        <v>0.11682737522730853</v>
      </c>
      <c r="BY32" s="20" cm="1">
        <f t="array" ref="BY32">lb_put_delta_mc(BY$18,$C$7,$C$8,$C$9,$C$10,$C$11,$C$12,$C$13)</f>
        <v>0.11682737522783147</v>
      </c>
      <c r="BZ32" s="20" cm="1">
        <f t="array" ref="BZ32">lb_put_delta_mc(BZ$18,$C$7,$C$8,$C$9,$C$10,$C$11,$C$12,$C$13)</f>
        <v>0.11682737522750275</v>
      </c>
      <c r="CA32" s="20" cm="1">
        <f t="array" ref="CA32">lb_put_delta_mc(CA$18,$C$7,$C$8,$C$9,$C$10,$C$11,$C$12,$C$13)</f>
        <v>0.11682737522776467</v>
      </c>
      <c r="CB32" s="20" cm="1">
        <f t="array" ref="CB32">lb_put_delta_mc(CB$18,$C$7,$C$8,$C$9,$C$10,$C$11,$C$12,$C$13)</f>
        <v>0.11682737522763993</v>
      </c>
      <c r="CC32" s="20" cm="1">
        <f t="array" ref="CC32">lb_put_delta_mc(CC$18,$C$7,$C$8,$C$9,$C$10,$C$11,$C$12,$C$13)</f>
        <v>0.11682737522777209</v>
      </c>
      <c r="CD32" s="20" cm="1">
        <f t="array" ref="CD32">lb_put_delta_mc(CD$18,$C$7,$C$8,$C$9,$C$10,$C$11,$C$12,$C$13)</f>
        <v>0.11682737522799878</v>
      </c>
      <c r="CE32" s="20" cm="1">
        <f t="array" ref="CE32">lb_put_delta_mc(CE$18,$C$7,$C$8,$C$9,$C$10,$C$11,$C$12,$C$13)</f>
        <v>0.11682737522722926</v>
      </c>
      <c r="CF32" s="20" cm="1">
        <f t="array" ref="CF32">lb_put_delta_mc(CF$18,$C$7,$C$8,$C$9,$C$10,$C$11,$C$12,$C$13)</f>
        <v>0.116827375227358</v>
      </c>
      <c r="CG32" s="20" cm="1">
        <f t="array" ref="CG32">lb_put_delta_mc(CG$18,$C$7,$C$8,$C$9,$C$10,$C$11,$C$12,$C$13)</f>
        <v>0.11682737522780653</v>
      </c>
      <c r="CH32" s="20" cm="1">
        <f t="array" ref="CH32">lb_put_delta_mc(CH$18,$C$7,$C$8,$C$9,$C$10,$C$11,$C$12,$C$13)</f>
        <v>0.11682737522791846</v>
      </c>
      <c r="CI32" s="20" cm="1">
        <f t="array" ref="CI32">lb_put_delta_mc(CI$18,$C$7,$C$8,$C$9,$C$10,$C$11,$C$12,$C$13)</f>
        <v>0.11682737522818371</v>
      </c>
      <c r="CJ32" s="20" cm="1">
        <f t="array" ref="CJ32">lb_put_delta_mc(CJ$18,$C$7,$C$8,$C$9,$C$10,$C$11,$C$12,$C$13)</f>
        <v>0.11682737522798418</v>
      </c>
      <c r="CK32" s="20" cm="1">
        <f t="array" ref="CK32">lb_put_delta_mc(CK$18,$C$7,$C$8,$C$9,$C$10,$C$11,$C$12,$C$13)</f>
        <v>0.11682737522761139</v>
      </c>
      <c r="CL32" s="20" cm="1">
        <f t="array" ref="CL32">lb_put_delta_mc(CL$18,$C$7,$C$8,$C$9,$C$10,$C$11,$C$12,$C$13)</f>
        <v>0.11682737522758135</v>
      </c>
      <c r="CM32" s="20" cm="1">
        <f t="array" ref="CM32">lb_put_delta_mc(CM$18,$C$7,$C$8,$C$9,$C$10,$C$11,$C$12,$C$13)</f>
        <v>0.11682737522779484</v>
      </c>
      <c r="CN32" s="20" cm="1">
        <f t="array" ref="CN32">lb_put_delta_mc(CN$18,$C$7,$C$8,$C$9,$C$10,$C$11,$C$12,$C$13)</f>
        <v>0.11682737522746509</v>
      </c>
      <c r="CO32" s="20" cm="1">
        <f t="array" ref="CO32">lb_put_delta_mc(CO$18,$C$7,$C$8,$C$9,$C$10,$C$11,$C$12,$C$13)</f>
        <v>0.11682737522773408</v>
      </c>
      <c r="CP32" s="20" cm="1">
        <f t="array" ref="CP32">lb_put_delta_mc(CP$18,$C$7,$C$8,$C$9,$C$10,$C$11,$C$12,$C$13)</f>
        <v>0.11682737522753557</v>
      </c>
      <c r="CQ32" s="20" cm="1">
        <f t="array" ref="CQ32">lb_put_delta_mc(CQ$18,$C$7,$C$8,$C$9,$C$10,$C$11,$C$12,$C$13)</f>
        <v>0.11682737522712168</v>
      </c>
      <c r="CR32" s="20" cm="1">
        <f t="array" ref="CR32">lb_put_delta_mc(CR$18,$C$7,$C$8,$C$9,$C$10,$C$11,$C$12,$C$13)</f>
        <v>0.11682737522746017</v>
      </c>
      <c r="CS32" s="20" cm="1">
        <f t="array" ref="CS32">lb_put_delta_mc(CS$18,$C$7,$C$8,$C$9,$C$10,$C$11,$C$12,$C$13)</f>
        <v>0.11682737522790008</v>
      </c>
      <c r="CT32" s="20" cm="1">
        <f t="array" ref="CT32">lb_put_delta_mc(CT$18,$C$7,$C$8,$C$9,$C$10,$C$11,$C$12,$C$13)</f>
        <v>0.11682737522778452</v>
      </c>
      <c r="CU32" s="20" cm="1">
        <f t="array" ref="CU32">lb_put_delta_mc(CU$18,$C$7,$C$8,$C$9,$C$10,$C$11,$C$12,$C$13)</f>
        <v>0.11682737522745601</v>
      </c>
      <c r="CV32" s="20" cm="1">
        <f t="array" ref="CV32">lb_put_delta_mc(CV$18,$C$7,$C$8,$C$9,$C$10,$C$11,$C$12,$C$13)</f>
        <v>0.1168273752278866</v>
      </c>
      <c r="CW32" s="20" cm="1">
        <f t="array" ref="CW32">lb_put_delta_mc(CW$18,$C$7,$C$8,$C$9,$C$10,$C$11,$C$12,$C$13)</f>
        <v>0.11682737522770117</v>
      </c>
      <c r="CX32" s="20" cm="1">
        <f t="array" ref="CX32">lb_put_delta_mc(CX$18,$C$7,$C$8,$C$9,$C$10,$C$11,$C$12,$C$13)</f>
        <v>0.11682737522764582</v>
      </c>
      <c r="CY32" s="20" cm="1">
        <f t="array" ref="CY32">lb_put_delta_mc(CY$18,$C$7,$C$8,$C$9,$C$10,$C$11,$C$12,$C$13)</f>
        <v>0.11682737522792501</v>
      </c>
      <c r="CZ32" s="20" cm="1">
        <f t="array" ref="CZ32">lb_put_delta_mc(CZ$18,$C$7,$C$8,$C$9,$C$10,$C$11,$C$12,$C$13)</f>
        <v>0.11682737522764067</v>
      </c>
      <c r="DA32" s="20" cm="1">
        <f t="array" ref="DA32">lb_put_delta_mc(DA$18,$C$7,$C$8,$C$9,$C$10,$C$11,$C$12,$C$13)</f>
        <v>0.11682737522775191</v>
      </c>
      <c r="DB32" s="20" cm="1">
        <f t="array" ref="DB32">lb_put_delta_mc(DB$18,$C$7,$C$8,$C$9,$C$10,$C$11,$C$12,$C$13)</f>
        <v>0.11682737522768333</v>
      </c>
      <c r="DC32" s="20" cm="1">
        <f t="array" ref="DC32">lb_put_delta_mc(DC$18,$C$7,$C$8,$C$9,$C$10,$C$11,$C$12,$C$13)</f>
        <v>0.11682737522772044</v>
      </c>
      <c r="DD32" s="20" cm="1">
        <f t="array" ref="DD32">lb_put_delta_mc(DD$18,$C$7,$C$8,$C$9,$C$10,$C$11,$C$12,$C$13)</f>
        <v>0.11682737522771362</v>
      </c>
      <c r="DE32" s="20" cm="1">
        <f t="array" ref="DE32">lb_put_delta_mc(DE$18,$C$7,$C$8,$C$9,$C$10,$C$11,$C$12,$C$13)</f>
        <v>0.11682737522784013</v>
      </c>
      <c r="DF32" s="20" cm="1">
        <f t="array" ref="DF32">lb_put_delta_mc(DF$18,$C$7,$C$8,$C$9,$C$10,$C$11,$C$12,$C$13)</f>
        <v>0.1168273752277178</v>
      </c>
      <c r="DG32" s="20" cm="1">
        <f t="array" ref="DG32">lb_put_delta_mc(DG$18,$C$7,$C$8,$C$9,$C$10,$C$11,$C$12,$C$13)</f>
        <v>0.11682737522792672</v>
      </c>
      <c r="DH32" s="20" cm="1">
        <f t="array" ref="DH32">lb_put_delta_mc(DH$18,$C$7,$C$8,$C$9,$C$10,$C$11,$C$12,$C$13)</f>
        <v>0.11682737522788199</v>
      </c>
      <c r="DI32" s="20" cm="1">
        <f t="array" ref="DI32">lb_put_delta_mc(DI$18,$C$7,$C$8,$C$9,$C$10,$C$11,$C$12,$C$13)</f>
        <v>0.11682737522760543</v>
      </c>
      <c r="DJ32" s="20" cm="1">
        <f t="array" ref="DJ32">lb_put_delta_mc(DJ$18,$C$7,$C$8,$C$9,$C$10,$C$11,$C$12,$C$13)</f>
        <v>0.11682737522750146</v>
      </c>
    </row>
    <row r="33" spans="1:114" ht="20.55" customHeight="1" x14ac:dyDescent="0.45"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</row>
    <row r="34" spans="1:114" ht="20.55" customHeight="1" x14ac:dyDescent="0.45"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</row>
    <row r="35" spans="1:114" ht="20.55" customHeight="1" x14ac:dyDescent="0.45">
      <c r="N35" s="20"/>
      <c r="O35" s="21">
        <v>0</v>
      </c>
      <c r="P35" s="21">
        <f>0.1*$C$10</f>
        <v>0.1</v>
      </c>
      <c r="Q35" s="21">
        <f>0.2*$C$10</f>
        <v>0.2</v>
      </c>
      <c r="R35" s="21">
        <f>0.3*$C$10</f>
        <v>0.3</v>
      </c>
      <c r="S35" s="21">
        <f>0.4*$C$10</f>
        <v>0.4</v>
      </c>
      <c r="T35" s="21">
        <f>0.5*$C$10</f>
        <v>0.5</v>
      </c>
      <c r="U35" s="21">
        <f>0.6*$C$10</f>
        <v>0.6</v>
      </c>
      <c r="V35" s="21">
        <f>0.7*$C$10</f>
        <v>0.7</v>
      </c>
      <c r="W35" s="21">
        <f>0.8*$C$10</f>
        <v>0.8</v>
      </c>
      <c r="X35" s="21">
        <f>0.9*$C$10</f>
        <v>0.9</v>
      </c>
      <c r="Y35" s="21">
        <f>$C$10</f>
        <v>1</v>
      </c>
      <c r="Z35" s="20"/>
      <c r="AA35" s="20"/>
      <c r="AB35" s="21">
        <v>0</v>
      </c>
      <c r="AC35" s="21">
        <f>0.1*$C$10</f>
        <v>0.1</v>
      </c>
      <c r="AD35" s="21">
        <f>0.2*$C$10</f>
        <v>0.2</v>
      </c>
      <c r="AE35" s="21">
        <f>0.3*$C$10</f>
        <v>0.3</v>
      </c>
      <c r="AF35" s="21">
        <f>0.4*$C$10</f>
        <v>0.4</v>
      </c>
      <c r="AG35" s="21">
        <f>0.5*$C$10</f>
        <v>0.5</v>
      </c>
      <c r="AH35" s="21">
        <f>0.6*$C$10</f>
        <v>0.6</v>
      </c>
      <c r="AI35" s="21">
        <f>0.7*$C$10</f>
        <v>0.7</v>
      </c>
      <c r="AJ35" s="21">
        <f>0.8*$C$10</f>
        <v>0.8</v>
      </c>
      <c r="AK35" s="21">
        <f>0.9*$C$10</f>
        <v>0.9</v>
      </c>
      <c r="AL35" s="21">
        <f>$C$10</f>
        <v>1</v>
      </c>
      <c r="AM35" s="20"/>
      <c r="AN35" s="20"/>
      <c r="AO35" s="21">
        <v>0</v>
      </c>
      <c r="AP35" s="21">
        <f>0.1*$C$10</f>
        <v>0.1</v>
      </c>
      <c r="AQ35" s="21">
        <f>0.2*$C$10</f>
        <v>0.2</v>
      </c>
      <c r="AR35" s="21">
        <f>0.3*$C$10</f>
        <v>0.3</v>
      </c>
      <c r="AS35" s="21">
        <f>0.4*$C$10</f>
        <v>0.4</v>
      </c>
      <c r="AT35" s="21">
        <f>0.5*$C$10</f>
        <v>0.5</v>
      </c>
      <c r="AU35" s="21">
        <f>0.6*$C$10</f>
        <v>0.6</v>
      </c>
      <c r="AV35" s="21">
        <f>0.7*$C$10</f>
        <v>0.7</v>
      </c>
      <c r="AW35" s="21">
        <f>0.8*$C$10</f>
        <v>0.8</v>
      </c>
      <c r="AX35" s="21">
        <f>0.9*$C$10</f>
        <v>0.9</v>
      </c>
      <c r="AY35" s="21">
        <f>$C$10</f>
        <v>1</v>
      </c>
      <c r="AZ35" s="20"/>
      <c r="BA35" s="20"/>
      <c r="BB35" s="21">
        <v>0</v>
      </c>
      <c r="BC35" s="21">
        <f>0.1*$C$10</f>
        <v>0.1</v>
      </c>
      <c r="BD35" s="21">
        <f>0.2*$C$10</f>
        <v>0.2</v>
      </c>
      <c r="BE35" s="21">
        <f>0.3*$C$10</f>
        <v>0.3</v>
      </c>
      <c r="BF35" s="21">
        <f>0.4*$C$10</f>
        <v>0.4</v>
      </c>
      <c r="BG35" s="21">
        <f>0.5*$C$10</f>
        <v>0.5</v>
      </c>
      <c r="BH35" s="21">
        <f>0.6*$C$10</f>
        <v>0.6</v>
      </c>
      <c r="BI35" s="21">
        <f>0.7*$C$10</f>
        <v>0.7</v>
      </c>
      <c r="BJ35" s="21">
        <f>0.8*$C$10</f>
        <v>0.8</v>
      </c>
      <c r="BK35" s="21">
        <f>0.9*$C$10</f>
        <v>0.9</v>
      </c>
      <c r="BL35" s="21">
        <f>$C$10</f>
        <v>1</v>
      </c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</row>
    <row r="36" spans="1:114" ht="20.55" customHeight="1" x14ac:dyDescent="0.45">
      <c r="N36" s="21">
        <v>0</v>
      </c>
      <c r="O36" s="20">
        <v>0</v>
      </c>
      <c r="P36" s="20">
        <v>0</v>
      </c>
      <c r="Q36" s="20">
        <v>0</v>
      </c>
      <c r="R36" s="20">
        <v>0</v>
      </c>
      <c r="S36" s="20">
        <v>0</v>
      </c>
      <c r="T36" s="20">
        <v>0</v>
      </c>
      <c r="U36" s="20">
        <v>0</v>
      </c>
      <c r="V36" s="20">
        <v>0</v>
      </c>
      <c r="W36" s="20">
        <v>0</v>
      </c>
      <c r="X36" s="20">
        <v>0</v>
      </c>
      <c r="Y36" s="20">
        <v>0</v>
      </c>
      <c r="Z36" s="20"/>
      <c r="AA36" s="21">
        <v>0</v>
      </c>
      <c r="AB36" s="20">
        <v>0</v>
      </c>
      <c r="AC36" s="20">
        <v>0</v>
      </c>
      <c r="AD36" s="20">
        <v>0</v>
      </c>
      <c r="AE36" s="20">
        <v>0</v>
      </c>
      <c r="AF36" s="20">
        <v>0</v>
      </c>
      <c r="AG36" s="20">
        <v>0</v>
      </c>
      <c r="AH36" s="20">
        <v>0</v>
      </c>
      <c r="AI36" s="20">
        <v>0</v>
      </c>
      <c r="AJ36" s="20">
        <v>0</v>
      </c>
      <c r="AK36" s="20">
        <v>0</v>
      </c>
      <c r="AL36" s="20">
        <v>0</v>
      </c>
      <c r="AM36" s="20"/>
      <c r="AN36" s="21">
        <v>0</v>
      </c>
      <c r="AO36" s="20" cm="1">
        <f t="array" ref="AO36">lb_call_delta_mc(1,$C$7,$C$8,AO$35,$C$10,$C$11,$C$12,$C$13)</f>
        <v>0.1854736180040289</v>
      </c>
      <c r="AP36" s="20" cm="1">
        <f t="array" ref="AP36">lb_call_delta_mc(1,$C$7,$C$8,AP$35,$C$10,$C$11,$C$12,$C$13)</f>
        <v>0.17506640066955553</v>
      </c>
      <c r="AQ36" s="20" cm="1">
        <f t="array" ref="AQ36">lb_call_delta_mc(1,$C$7,$C$8,AQ$35,$C$10,$C$11,$C$12,$C$13)</f>
        <v>0.16415240387181054</v>
      </c>
      <c r="AR36" s="20" cm="1">
        <f t="array" ref="AR36">lb_call_delta_mc(1,$C$7,$C$8,AR$35,$C$10,$C$11,$C$12,$C$13)</f>
        <v>0.15263595882468661</v>
      </c>
      <c r="AS36" s="20" cm="1">
        <f t="array" ref="AS36">lb_call_delta_mc(1,$C$7,$C$8,AS$35,$C$10,$C$11,$C$12,$C$13)</f>
        <v>0.14038642648455157</v>
      </c>
      <c r="AT36" s="20" cm="1">
        <f t="array" ref="AT36">lb_call_delta_mc(1,$C$7,$C$8,AT$35,$C$10,$C$11,$C$12,$C$13)</f>
        <v>0.12721718526984924</v>
      </c>
      <c r="AU36" s="20" cm="1">
        <f t="array" ref="AU36">lb_call_delta_mc(1,$C$7,$C$8,AU$35,$C$10,$C$11,$C$12,$C$13)</f>
        <v>0.11284828669131944</v>
      </c>
      <c r="AV36" s="20" cm="1">
        <f t="array" ref="AV36">lb_call_delta_mc(1,$C$7,$C$8,AV$35,$C$10,$C$11,$C$12,$C$13)</f>
        <v>9.6802087992104477E-2</v>
      </c>
      <c r="AW36" s="20" cm="1">
        <f t="array" ref="AW36">lb_call_delta_mc(1,$C$7,$C$8,AW$35,$C$10,$C$11,$C$12,$C$13)</f>
        <v>7.8122864264913577E-2</v>
      </c>
      <c r="AX36" s="20" cm="1">
        <f t="array" ref="AX36">lb_call_delta_mc(1,$C$7,$C$8,AX$35,$C$10,$C$11,$C$12,$C$13)</f>
        <v>5.4374020762044367E-2</v>
      </c>
      <c r="AY36" s="20">
        <v>0</v>
      </c>
      <c r="AZ36" s="20"/>
      <c r="BA36" s="21">
        <v>0</v>
      </c>
      <c r="BB36" s="20" cm="1">
        <f t="array" ref="BB36">lb_put_delta_mc(1,$C$7,$C$8,AO$35,$C$10,$C$11,$C$12,$C$13)</f>
        <v>0.11682737522750275</v>
      </c>
      <c r="BC36" s="20" cm="1">
        <f t="array" ref="BC36">lb_put_delta_mc(1,$C$7,$C$8,AP$35,$C$10,$C$11,$C$12,$C$13)</f>
        <v>0.11157256761325032</v>
      </c>
      <c r="BD36" s="20" cm="1">
        <f t="array" ref="BD36">lb_put_delta_mc(1,$C$7,$C$8,AQ$35,$C$10,$C$11,$C$12,$C$13)</f>
        <v>0.10592237015403755</v>
      </c>
      <c r="BE36" s="20" cm="1">
        <f t="array" ref="BE36">lb_put_delta_mc(1,$C$7,$C$8,AR$35,$C$10,$C$11,$C$12,$C$13)</f>
        <v>9.9801234981978612E-2</v>
      </c>
      <c r="BF36" s="20" cm="1">
        <f t="array" ref="BF36">lb_put_delta_mc(1,$C$7,$C$8,AS$35,$C$10,$C$11,$C$12,$C$13)</f>
        <v>9.310535024166279E-2</v>
      </c>
      <c r="BG36" s="20" cm="1">
        <f t="array" ref="BG36">lb_put_delta_mc(1,$C$7,$C$8,AT$35,$C$10,$C$11,$C$12,$C$13)</f>
        <v>8.5685820174220245E-2</v>
      </c>
      <c r="BH36" s="20" cm="1">
        <f t="array" ref="BH36">lb_put_delta_mc(1,$C$7,$C$8,AU$35,$C$10,$C$11,$C$12,$C$13)</f>
        <v>7.7314155165606732E-2</v>
      </c>
      <c r="BI36" s="20" cm="1">
        <f t="array" ref="BI36">lb_put_delta_mc(1,$C$7,$C$8,AV$35,$C$10,$C$11,$C$12,$C$13)</f>
        <v>6.7606796442010078E-2</v>
      </c>
      <c r="BJ36" s="20" cm="1">
        <f t="array" ref="BJ36">lb_put_delta_mc(1,$C$7,$C$8,AW$35,$C$10,$C$11,$C$12,$C$13)</f>
        <v>5.583558782342346E-2</v>
      </c>
      <c r="BK36" s="20" cm="1">
        <f t="array" ref="BK36">lb_put_delta_mc(1,$C$7,$C$8,AX$35,$C$10,$C$11,$C$12,$C$13)</f>
        <v>4.0059749784757626E-2</v>
      </c>
      <c r="BL36" s="20">
        <v>0</v>
      </c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</row>
    <row r="37" spans="1:114" ht="20.55" customHeight="1" x14ac:dyDescent="0.45">
      <c r="N37" s="21">
        <f>0.2*$C$6</f>
        <v>20</v>
      </c>
      <c r="O37" s="20" cm="1">
        <f t="array" ref="O37">lb_call_price_mc($N37,$C$7,$C$8,O$35,$C$10,$C$11,$C$12,$C$13)</f>
        <v>3.7094723600792259</v>
      </c>
      <c r="P37" s="20" cm="1">
        <f t="array" ref="P37">lb_call_price_mc($N37,$C$7,$C$8,P$35,$C$10,$C$11,$C$12,$C$13)</f>
        <v>3.5013280133940579</v>
      </c>
      <c r="Q37" s="20" cm="1">
        <f t="array" ref="Q37">lb_call_price_mc($N37,$C$7,$C$8,Q$35,$C$10,$C$11,$C$12,$C$13)</f>
        <v>3.2830480774272517</v>
      </c>
      <c r="R37" s="20" cm="1">
        <f t="array" ref="R37">lb_call_price_mc($N37,$C$7,$C$8,R$35,$C$10,$C$11,$C$12,$C$13)</f>
        <v>3.0527191764890782</v>
      </c>
      <c r="S37" s="20" cm="1">
        <f t="array" ref="S37">lb_call_price_mc($N37,$C$7,$C$8,S$35,$C$10,$C$11,$C$12,$C$13)</f>
        <v>2.8077285296858596</v>
      </c>
      <c r="T37" s="20" cm="1">
        <f t="array" ref="T37">lb_call_price_mc($N37,$C$7,$C$8,T$35,$C$10,$C$11,$C$12,$C$13)</f>
        <v>2.5443437054063698</v>
      </c>
      <c r="U37" s="20" cm="1">
        <f t="array" ref="U37">lb_call_price_mc($N37,$C$7,$C$8,U$35,$C$10,$C$11,$C$12,$C$13)</f>
        <v>2.2569657338331748</v>
      </c>
      <c r="V37" s="20" cm="1">
        <f t="array" ref="V37">lb_call_price_mc($N37,$C$7,$C$8,V$35,$C$10,$C$11,$C$12,$C$13)</f>
        <v>1.9360417598364055</v>
      </c>
      <c r="W37" s="20" cm="1">
        <f t="array" ref="W37">lb_call_price_mc($N37,$C$7,$C$8,W$35,$C$10,$C$11,$C$12,$C$13)</f>
        <v>1.5624572853019463</v>
      </c>
      <c r="X37" s="20" cm="1">
        <f t="array" ref="X37">lb_call_price_mc($N37,$C$7,$C$8,X$35,$C$10,$C$11,$C$12,$C$13)</f>
        <v>1.0874804152526862</v>
      </c>
      <c r="Y37" s="20">
        <v>0</v>
      </c>
      <c r="Z37" s="20"/>
      <c r="AA37" s="21">
        <f>0.2*$C$6</f>
        <v>20</v>
      </c>
      <c r="AB37" s="20" cm="1">
        <f t="array" ref="AB37">lb_put_price_mc($N37,$C$7,$C$8,AB$35,$C$10,$C$11,$C$12,$C$13)</f>
        <v>2.3365475045535296</v>
      </c>
      <c r="AC37" s="20" cm="1">
        <f t="array" ref="AC37">lb_put_price_mc($N37,$C$7,$C$8,AC$35,$C$10,$C$11,$C$12,$C$13)</f>
        <v>2.2314513522638992</v>
      </c>
      <c r="AD37" s="20" cm="1">
        <f t="array" ref="AD37">lb_put_price_mc($N37,$C$7,$C$8,AD$35,$C$10,$C$11,$C$12,$C$13)</f>
        <v>2.1184474030818925</v>
      </c>
      <c r="AE37" s="20" cm="1">
        <f t="array" ref="AE37">lb_put_price_mc($N37,$C$7,$C$8,AE$35,$C$10,$C$11,$C$12,$C$13)</f>
        <v>1.9960246996377835</v>
      </c>
      <c r="AF37" s="20" cm="1">
        <f t="array" ref="AF37">lb_put_price_mc($N37,$C$7,$C$8,AF$35,$C$10,$C$11,$C$12,$C$13)</f>
        <v>1.8621070048301949</v>
      </c>
      <c r="AG37" s="20" cm="1">
        <f t="array" ref="AG37">lb_put_price_mc($N37,$C$7,$C$8,AG$35,$C$10,$C$11,$C$12,$C$13)</f>
        <v>1.7137164034827947</v>
      </c>
      <c r="AH37" s="20" cm="1">
        <f t="array" ref="AH37">lb_put_price_mc($N37,$C$7,$C$8,AH$35,$C$10,$C$11,$C$12,$C$13)</f>
        <v>1.5462831033158291</v>
      </c>
      <c r="AI37" s="20" cm="1">
        <f t="array" ref="AI37">lb_put_price_mc($N37,$C$7,$C$8,AI$35,$C$10,$C$11,$C$12,$C$13)</f>
        <v>1.3521359288348125</v>
      </c>
      <c r="AJ37" s="20" cm="1">
        <f t="array" ref="AJ37">lb_put_price_mc($N37,$C$7,$C$8,AJ$35,$C$10,$C$11,$C$12,$C$13)</f>
        <v>1.1167117564644991</v>
      </c>
      <c r="AK37" s="20" cm="1">
        <f t="array" ref="AK37">lb_put_price_mc($N37,$C$7,$C$8,AK$35,$C$10,$C$11,$C$12,$C$13)</f>
        <v>0.80119499568745567</v>
      </c>
      <c r="AL37" s="20">
        <v>0</v>
      </c>
      <c r="AM37" s="20"/>
      <c r="AN37" s="21">
        <f>0.2*$C$6</f>
        <v>20</v>
      </c>
      <c r="AO37" s="20" cm="1">
        <f t="array" ref="AO37">lb_call_delta_mc($N37,$C$7,$C$8,AO$35,$C$10,$C$11,$C$12,$C$13)</f>
        <v>0.18547361800436588</v>
      </c>
      <c r="AP37" s="20" cm="1">
        <f t="array" ref="AP37">lb_call_delta_mc($N37,$C$7,$C$8,AP$35,$C$10,$C$11,$C$12,$C$13)</f>
        <v>0.17506640067004572</v>
      </c>
      <c r="AQ37" s="20" cm="1">
        <f t="array" ref="AQ37">lb_call_delta_mc($N37,$C$7,$C$8,AQ$35,$C$10,$C$11,$C$12,$C$13)</f>
        <v>0.1641524038711964</v>
      </c>
      <c r="AR37" s="20" cm="1">
        <f t="array" ref="AR37">lb_call_delta_mc($N37,$C$7,$C$8,AR$35,$C$10,$C$11,$C$12,$C$13)</f>
        <v>0.1526359588241602</v>
      </c>
      <c r="AS37" s="20" cm="1">
        <f t="array" ref="AS37">lb_call_delta_mc($N37,$C$7,$C$8,AS$35,$C$10,$C$11,$C$12,$C$13)</f>
        <v>0.14038642648406441</v>
      </c>
      <c r="AT37" s="20" cm="1">
        <f t="array" ref="AT37">lb_call_delta_mc($N37,$C$7,$C$8,AT$35,$C$10,$C$11,$C$12,$C$13)</f>
        <v>0.12721718527050185</v>
      </c>
      <c r="AU37" s="20" cm="1">
        <f t="array" ref="AU37">lb_call_delta_mc($N37,$C$7,$C$8,AU$35,$C$10,$C$11,$C$12,$C$13)</f>
        <v>0.11284828669185007</v>
      </c>
      <c r="AV37" s="20" cm="1">
        <f t="array" ref="AV37">lb_call_delta_mc($N37,$C$7,$C$8,AV$35,$C$10,$C$11,$C$12,$C$13)</f>
        <v>9.6802087991902444E-2</v>
      </c>
      <c r="AW37" s="20" cm="1">
        <f t="array" ref="AW37">lb_call_delta_mc($N37,$C$7,$C$8,AW$35,$C$10,$C$11,$C$12,$C$13)</f>
        <v>7.8122864264822275E-2</v>
      </c>
      <c r="AX37" s="20" cm="1">
        <f t="array" ref="AX37">lb_call_delta_mc($N37,$C$7,$C$8,AX$35,$C$10,$C$11,$C$12,$C$13)</f>
        <v>5.4374020762846274E-2</v>
      </c>
      <c r="AY37" s="20">
        <v>0</v>
      </c>
      <c r="AZ37" s="20"/>
      <c r="BA37" s="21">
        <f>0.2*$C$6</f>
        <v>20</v>
      </c>
      <c r="BB37" s="20" cm="1">
        <f t="array" ref="BB37">lb_put_delta_mc($N37,$C$7,$C$8,BB$35,$C$10,$C$11,$C$12,$C$13)</f>
        <v>0.11682737522753557</v>
      </c>
      <c r="BC37" s="20" cm="1">
        <f t="array" ref="BC37">lb_put_delta_mc($N37,$C$7,$C$8,BC$35,$C$10,$C$11,$C$12,$C$13)</f>
        <v>0.11157256761328795</v>
      </c>
      <c r="BD37" s="20" cm="1">
        <f t="array" ref="BD37">lb_put_delta_mc($N37,$C$7,$C$8,BD$35,$C$10,$C$11,$C$12,$C$13)</f>
        <v>0.1059223701540767</v>
      </c>
      <c r="BE37" s="20" cm="1">
        <f t="array" ref="BE37">lb_put_delta_mc($N37,$C$7,$C$8,BE$35,$C$10,$C$11,$C$12,$C$13)</f>
        <v>9.9801234981620662E-2</v>
      </c>
      <c r="BF37" s="20" cm="1">
        <f t="array" ref="BF37">lb_put_delta_mc($N37,$C$7,$C$8,BF$35,$C$10,$C$11,$C$12,$C$13)</f>
        <v>9.3105350241610194E-2</v>
      </c>
      <c r="BG37" s="20" cm="1">
        <f t="array" ref="BG37">lb_put_delta_mc($N37,$C$7,$C$8,BG$35,$C$10,$C$11,$C$12,$C$13)</f>
        <v>8.5685820174020336E-2</v>
      </c>
      <c r="BH37" s="20" cm="1">
        <f t="array" ref="BH37">lb_put_delta_mc($N37,$C$7,$C$8,BH$35,$C$10,$C$11,$C$12,$C$13)</f>
        <v>7.7314155165357001E-2</v>
      </c>
      <c r="BI37" s="20" cm="1">
        <f t="array" ref="BI37">lb_put_delta_mc($N37,$C$7,$C$8,BI$35,$C$10,$C$11,$C$12,$C$13)</f>
        <v>6.7606796441861489E-2</v>
      </c>
      <c r="BJ37" s="20" cm="1">
        <f t="array" ref="BJ37">lb_put_delta_mc($N37,$C$7,$C$8,BJ$35,$C$10,$C$11,$C$12,$C$13)</f>
        <v>5.5835587823139118E-2</v>
      </c>
      <c r="BK37" s="20" cm="1">
        <f t="array" ref="BK37">lb_put_delta_mc($N37,$C$7,$C$8,BK$35,$C$10,$C$11,$C$12,$C$13)</f>
        <v>4.0059749784131751E-2</v>
      </c>
      <c r="BL37" s="20">
        <v>0</v>
      </c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</row>
    <row r="38" spans="1:114" ht="20.55" customHeight="1" x14ac:dyDescent="0.45">
      <c r="N38" s="21">
        <f>0.4*$C$6</f>
        <v>40</v>
      </c>
      <c r="O38" s="20" cm="1">
        <f t="array" ref="O38">lb_call_price_mc($N38,$C$7,$C$8,O$35,$C$10,$C$11,$C$12,$C$13)</f>
        <v>7.4189447201584517</v>
      </c>
      <c r="P38" s="20" cm="1">
        <f t="array" ref="P38">lb_call_price_mc($N38,$C$7,$C$8,P$35,$C$10,$C$11,$C$12,$C$13)</f>
        <v>7.0026560267881157</v>
      </c>
      <c r="Q38" s="20" cm="1">
        <f t="array" ref="Q38">lb_call_price_mc($N38,$C$7,$C$8,Q$35,$C$10,$C$11,$C$12,$C$13)</f>
        <v>6.5660961548545034</v>
      </c>
      <c r="R38" s="20" cm="1">
        <f t="array" ref="R38">lb_call_price_mc($N38,$C$7,$C$8,R$35,$C$10,$C$11,$C$12,$C$13)</f>
        <v>6.1054383529781564</v>
      </c>
      <c r="S38" s="20" cm="1">
        <f t="array" ref="S38">lb_call_price_mc($N38,$C$7,$C$8,S$35,$C$10,$C$11,$C$12,$C$13)</f>
        <v>5.6154570593717192</v>
      </c>
      <c r="T38" s="20" cm="1">
        <f t="array" ref="T38">lb_call_price_mc($N38,$C$7,$C$8,T$35,$C$10,$C$11,$C$12,$C$13)</f>
        <v>5.0886874108127396</v>
      </c>
      <c r="U38" s="20" cm="1">
        <f t="array" ref="U38">lb_call_price_mc($N38,$C$7,$C$8,U$35,$C$10,$C$11,$C$12,$C$13)</f>
        <v>4.5139314676663496</v>
      </c>
      <c r="V38" s="20" cm="1">
        <f t="array" ref="V38">lb_call_price_mc($N38,$C$7,$C$8,V$35,$C$10,$C$11,$C$12,$C$13)</f>
        <v>3.8720835196728109</v>
      </c>
      <c r="W38" s="20" cm="1">
        <f t="array" ref="W38">lb_call_price_mc($N38,$C$7,$C$8,W$35,$C$10,$C$11,$C$12,$C$13)</f>
        <v>3.1249145706038925</v>
      </c>
      <c r="X38" s="20" cm="1">
        <f t="array" ref="X38">lb_call_price_mc($N38,$C$7,$C$8,X$35,$C$10,$C$11,$C$12,$C$13)</f>
        <v>2.1749608305053725</v>
      </c>
      <c r="Y38" s="20">
        <v>0</v>
      </c>
      <c r="Z38" s="20"/>
      <c r="AA38" s="21">
        <f>0.4*$C$6</f>
        <v>40</v>
      </c>
      <c r="AB38" s="20" cm="1">
        <f t="array" ref="AB38">lb_put_price_mc($N38,$C$7,$C$8,AB$35,$C$10,$C$11,$C$12,$C$13)</f>
        <v>4.6730950091070591</v>
      </c>
      <c r="AC38" s="20" cm="1">
        <f t="array" ref="AC38">lb_put_price_mc($N38,$C$7,$C$8,AC$35,$C$10,$C$11,$C$12,$C$13)</f>
        <v>4.4629027045277985</v>
      </c>
      <c r="AD38" s="20" cm="1">
        <f t="array" ref="AD38">lb_put_price_mc($N38,$C$7,$C$8,AD$35,$C$10,$C$11,$C$12,$C$13)</f>
        <v>4.236894806163785</v>
      </c>
      <c r="AE38" s="20" cm="1">
        <f t="array" ref="AE38">lb_put_price_mc($N38,$C$7,$C$8,AE$35,$C$10,$C$11,$C$12,$C$13)</f>
        <v>3.992049399275567</v>
      </c>
      <c r="AF38" s="20" cm="1">
        <f t="array" ref="AF38">lb_put_price_mc($N38,$C$7,$C$8,AF$35,$C$10,$C$11,$C$12,$C$13)</f>
        <v>3.7242140096603897</v>
      </c>
      <c r="AG38" s="20" cm="1">
        <f t="array" ref="AG38">lb_put_price_mc($N38,$C$7,$C$8,AG$35,$C$10,$C$11,$C$12,$C$13)</f>
        <v>3.4274328069655895</v>
      </c>
      <c r="AH38" s="20" cm="1">
        <f t="array" ref="AH38">lb_put_price_mc($N38,$C$7,$C$8,AH$35,$C$10,$C$11,$C$12,$C$13)</f>
        <v>3.0925662066316582</v>
      </c>
      <c r="AI38" s="20" cm="1">
        <f t="array" ref="AI38">lb_put_price_mc($N38,$C$7,$C$8,AI$35,$C$10,$C$11,$C$12,$C$13)</f>
        <v>2.704271857669625</v>
      </c>
      <c r="AJ38" s="20" cm="1">
        <f t="array" ref="AJ38">lb_put_price_mc($N38,$C$7,$C$8,AJ$35,$C$10,$C$11,$C$12,$C$13)</f>
        <v>2.2334235129289981</v>
      </c>
      <c r="AK38" s="20" cm="1">
        <f t="array" ref="AK38">lb_put_price_mc($N38,$C$7,$C$8,AK$35,$C$10,$C$11,$C$12,$C$13)</f>
        <v>1.6023899913749113</v>
      </c>
      <c r="AL38" s="20">
        <v>0</v>
      </c>
      <c r="AM38" s="20"/>
      <c r="AN38" s="21">
        <f>0.4*$C$6</f>
        <v>40</v>
      </c>
      <c r="AO38" s="20" cm="1">
        <f t="array" ref="AO38">lb_call_delta_mc($N38,$C$7,$C$8,AO$35,$C$10,$C$11,$C$12,$C$13)</f>
        <v>0.18547361800436588</v>
      </c>
      <c r="AP38" s="20" cm="1">
        <f t="array" ref="AP38">lb_call_delta_mc($N38,$C$7,$C$8,AP$35,$C$10,$C$11,$C$12,$C$13)</f>
        <v>0.17506640067004572</v>
      </c>
      <c r="AQ38" s="20" cm="1">
        <f t="array" ref="AQ38">lb_call_delta_mc($N38,$C$7,$C$8,AQ$35,$C$10,$C$11,$C$12,$C$13)</f>
        <v>0.1641524038711964</v>
      </c>
      <c r="AR38" s="20" cm="1">
        <f t="array" ref="AR38">lb_call_delta_mc($N38,$C$7,$C$8,AR$35,$C$10,$C$11,$C$12,$C$13)</f>
        <v>0.1526359588241602</v>
      </c>
      <c r="AS38" s="20" cm="1">
        <f t="array" ref="AS38">lb_call_delta_mc($N38,$C$7,$C$8,AS$35,$C$10,$C$11,$C$12,$C$13)</f>
        <v>0.14038642648406441</v>
      </c>
      <c r="AT38" s="20" cm="1">
        <f t="array" ref="AT38">lb_call_delta_mc($N38,$C$7,$C$8,AT$35,$C$10,$C$11,$C$12,$C$13)</f>
        <v>0.12721718527050185</v>
      </c>
      <c r="AU38" s="20" cm="1">
        <f t="array" ref="AU38">lb_call_delta_mc($N38,$C$7,$C$8,AU$35,$C$10,$C$11,$C$12,$C$13)</f>
        <v>0.11284828669185007</v>
      </c>
      <c r="AV38" s="20" cm="1">
        <f t="array" ref="AV38">lb_call_delta_mc($N38,$C$7,$C$8,AV$35,$C$10,$C$11,$C$12,$C$13)</f>
        <v>9.6802087991902444E-2</v>
      </c>
      <c r="AW38" s="20" cm="1">
        <f t="array" ref="AW38">lb_call_delta_mc($N38,$C$7,$C$8,AW$35,$C$10,$C$11,$C$12,$C$13)</f>
        <v>7.8122864264822275E-2</v>
      </c>
      <c r="AX38" s="20" cm="1">
        <f t="array" ref="AX38">lb_call_delta_mc($N38,$C$7,$C$8,AX$35,$C$10,$C$11,$C$12,$C$13)</f>
        <v>5.4374020762846274E-2</v>
      </c>
      <c r="AY38" s="20">
        <v>0</v>
      </c>
      <c r="AZ38" s="20"/>
      <c r="BA38" s="21">
        <f>0.4*$C$6</f>
        <v>40</v>
      </c>
      <c r="BB38" s="20" cm="1">
        <f t="array" ref="BB38">lb_put_delta_mc($N38,$C$7,$C$8,BB$35,$C$10,$C$11,$C$12,$C$13)</f>
        <v>0.11682737522753557</v>
      </c>
      <c r="BC38" s="20" cm="1">
        <f t="array" ref="BC38">lb_put_delta_mc($N38,$C$7,$C$8,BC$35,$C$10,$C$11,$C$12,$C$13)</f>
        <v>0.11157256761328795</v>
      </c>
      <c r="BD38" s="20" cm="1">
        <f t="array" ref="BD38">lb_put_delta_mc($N38,$C$7,$C$8,BD$35,$C$10,$C$11,$C$12,$C$13)</f>
        <v>0.1059223701540767</v>
      </c>
      <c r="BE38" s="20" cm="1">
        <f t="array" ref="BE38">lb_put_delta_mc($N38,$C$7,$C$8,BE$35,$C$10,$C$11,$C$12,$C$13)</f>
        <v>9.9801234981620662E-2</v>
      </c>
      <c r="BF38" s="20" cm="1">
        <f t="array" ref="BF38">lb_put_delta_mc($N38,$C$7,$C$8,BF$35,$C$10,$C$11,$C$12,$C$13)</f>
        <v>9.3105350241610194E-2</v>
      </c>
      <c r="BG38" s="20" cm="1">
        <f t="array" ref="BG38">lb_put_delta_mc($N38,$C$7,$C$8,BG$35,$C$10,$C$11,$C$12,$C$13)</f>
        <v>8.5685820174020336E-2</v>
      </c>
      <c r="BH38" s="20" cm="1">
        <f t="array" ref="BH38">lb_put_delta_mc($N38,$C$7,$C$8,BH$35,$C$10,$C$11,$C$12,$C$13)</f>
        <v>7.7314155165357001E-2</v>
      </c>
      <c r="BI38" s="20" cm="1">
        <f t="array" ref="BI38">lb_put_delta_mc($N38,$C$7,$C$8,BI$35,$C$10,$C$11,$C$12,$C$13)</f>
        <v>6.7606796441861489E-2</v>
      </c>
      <c r="BJ38" s="20" cm="1">
        <f t="array" ref="BJ38">lb_put_delta_mc($N38,$C$7,$C$8,BJ$35,$C$10,$C$11,$C$12,$C$13)</f>
        <v>5.5835587823139118E-2</v>
      </c>
      <c r="BK38" s="20" cm="1">
        <f t="array" ref="BK38">lb_put_delta_mc($N38,$C$7,$C$8,BK$35,$C$10,$C$11,$C$12,$C$13)</f>
        <v>4.0059749784131751E-2</v>
      </c>
      <c r="BL38" s="20">
        <v>0</v>
      </c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</row>
    <row r="39" spans="1:114" ht="20.55" customHeight="1" x14ac:dyDescent="0.45">
      <c r="N39" s="21">
        <f>0.6*$C$6</f>
        <v>60</v>
      </c>
      <c r="O39" s="20" cm="1">
        <f t="array" ref="O39">lb_call_price_mc($N39,$C$7,$C$8,O$35,$C$10,$C$11,$C$12,$C$13)</f>
        <v>11.12841708023767</v>
      </c>
      <c r="P39" s="20" cm="1">
        <f t="array" ref="P39">lb_call_price_mc($N39,$C$7,$C$8,P$35,$C$10,$C$11,$C$12,$C$13)</f>
        <v>10.503984040182173</v>
      </c>
      <c r="Q39" s="20" cm="1">
        <f t="array" ref="Q39">lb_call_price_mc($N39,$C$7,$C$8,Q$35,$C$10,$C$11,$C$12,$C$13)</f>
        <v>9.8491442322817537</v>
      </c>
      <c r="R39" s="20" cm="1">
        <f t="array" ref="R39">lb_call_price_mc($N39,$C$7,$C$8,R$35,$C$10,$C$11,$C$12,$C$13)</f>
        <v>9.1581575294672337</v>
      </c>
      <c r="S39" s="20" cm="1">
        <f t="array" ref="S39">lb_call_price_mc($N39,$C$7,$C$8,S$35,$C$10,$C$11,$C$12,$C$13)</f>
        <v>8.4231855890575726</v>
      </c>
      <c r="T39" s="20" cm="1">
        <f t="array" ref="T39">lb_call_price_mc($N39,$C$7,$C$8,T$35,$C$10,$C$11,$C$12,$C$13)</f>
        <v>7.6330311162191089</v>
      </c>
      <c r="U39" s="20" cm="1">
        <f t="array" ref="U39">lb_call_price_mc($N39,$C$7,$C$8,U$35,$C$10,$C$11,$C$12,$C$13)</f>
        <v>6.7708972014995279</v>
      </c>
      <c r="V39" s="20" cm="1">
        <f t="array" ref="V39">lb_call_price_mc($N39,$C$7,$C$8,V$35,$C$10,$C$11,$C$12,$C$13)</f>
        <v>5.8081252795092189</v>
      </c>
      <c r="W39" s="20" cm="1">
        <f t="array" ref="W39">lb_call_price_mc($N39,$C$7,$C$8,W$35,$C$10,$C$11,$C$12,$C$13)</f>
        <v>4.687371855905841</v>
      </c>
      <c r="X39" s="20" cm="1">
        <f t="array" ref="X39">lb_call_price_mc($N39,$C$7,$C$8,X$35,$C$10,$C$11,$C$12,$C$13)</f>
        <v>3.2624412457580623</v>
      </c>
      <c r="Y39" s="20">
        <v>0</v>
      </c>
      <c r="Z39" s="20"/>
      <c r="AA39" s="21">
        <f>0.6*$C$6</f>
        <v>60</v>
      </c>
      <c r="AB39" s="20" cm="1">
        <f t="array" ref="AB39">lb_put_price_mc($N39,$C$7,$C$8,AB$35,$C$10,$C$11,$C$12,$C$13)</f>
        <v>7.0096425136605927</v>
      </c>
      <c r="AC39" s="20" cm="1">
        <f t="array" ref="AC39">lb_put_price_mc($N39,$C$7,$C$8,AC$35,$C$10,$C$11,$C$12,$C$13)</f>
        <v>6.6943540567916875</v>
      </c>
      <c r="AD39" s="20" cm="1">
        <f t="array" ref="AD39">lb_put_price_mc($N39,$C$7,$C$8,AD$35,$C$10,$C$11,$C$12,$C$13)</f>
        <v>6.3553422092456744</v>
      </c>
      <c r="AE39" s="20" cm="1">
        <f t="array" ref="AE39">lb_put_price_mc($N39,$C$7,$C$8,AE$35,$C$10,$C$11,$C$12,$C$13)</f>
        <v>5.9880740989133496</v>
      </c>
      <c r="AF39" s="20" cm="1">
        <f t="array" ref="AF39">lb_put_price_mc($N39,$C$7,$C$8,AF$35,$C$10,$C$11,$C$12,$C$13)</f>
        <v>5.5863210144905819</v>
      </c>
      <c r="AG39" s="20" cm="1">
        <f t="array" ref="AG39">lb_put_price_mc($N39,$C$7,$C$8,AG$35,$C$10,$C$11,$C$12,$C$13)</f>
        <v>5.1411492104483845</v>
      </c>
      <c r="AH39" s="20" cm="1">
        <f t="array" ref="AH39">lb_put_price_mc($N39,$C$7,$C$8,AH$35,$C$10,$C$11,$C$12,$C$13)</f>
        <v>4.6388493099474823</v>
      </c>
      <c r="AI39" s="20" cm="1">
        <f t="array" ref="AI39">lb_put_price_mc($N39,$C$7,$C$8,AI$35,$C$10,$C$11,$C$12,$C$13)</f>
        <v>4.056407786504435</v>
      </c>
      <c r="AJ39" s="20" cm="1">
        <f t="array" ref="AJ39">lb_put_price_mc($N39,$C$7,$C$8,AJ$35,$C$10,$C$11,$C$12,$C$13)</f>
        <v>3.3501352693934989</v>
      </c>
      <c r="AK39" s="20" cm="1">
        <f t="array" ref="AK39">lb_put_price_mc($N39,$C$7,$C$8,AK$35,$C$10,$C$11,$C$12,$C$13)</f>
        <v>2.4035849870623602</v>
      </c>
      <c r="AL39" s="20">
        <v>0</v>
      </c>
      <c r="AM39" s="20"/>
      <c r="AN39" s="21">
        <f>0.6*$C$6</f>
        <v>60</v>
      </c>
      <c r="AO39" s="20" cm="1">
        <f t="array" ref="AO39">lb_call_delta_mc($N39,$C$7,$C$8,AO$35,$C$10,$C$11,$C$12,$C$13)</f>
        <v>0.18547361800372089</v>
      </c>
      <c r="AP39" s="20" cm="1">
        <f t="array" ref="AP39">lb_call_delta_mc($N39,$C$7,$C$8,AP$35,$C$10,$C$11,$C$12,$C$13)</f>
        <v>0.17506640066971008</v>
      </c>
      <c r="AQ39" s="20" cm="1">
        <f t="array" ref="AQ39">lb_call_delta_mc($N39,$C$7,$C$8,AQ$35,$C$10,$C$11,$C$12,$C$13)</f>
        <v>0.16415240387096683</v>
      </c>
      <c r="AR39" s="20" cm="1">
        <f t="array" ref="AR39">lb_call_delta_mc($N39,$C$7,$C$8,AR$35,$C$10,$C$11,$C$12,$C$13)</f>
        <v>0.15263595882421235</v>
      </c>
      <c r="AS39" s="20" cm="1">
        <f t="array" ref="AS39">lb_call_delta_mc($N39,$C$7,$C$8,AS$35,$C$10,$C$11,$C$12,$C$13)</f>
        <v>0.1403864264841308</v>
      </c>
      <c r="AT39" s="20" cm="1">
        <f t="array" ref="AT39">lb_call_delta_mc($N39,$C$7,$C$8,AT$35,$C$10,$C$11,$C$12,$C$13)</f>
        <v>0.12721718527016207</v>
      </c>
      <c r="AU39" s="20" cm="1">
        <f t="array" ref="AU39">lb_call_delta_mc($N39,$C$7,$C$8,AU$35,$C$10,$C$11,$C$12,$C$13)</f>
        <v>0.11284828669190076</v>
      </c>
      <c r="AV39" s="20" cm="1">
        <f t="array" ref="AV39">lb_call_delta_mc($N39,$C$7,$C$8,AV$35,$C$10,$C$11,$C$12,$C$13)</f>
        <v>9.6802087991837926E-2</v>
      </c>
      <c r="AW39" s="20" cm="1">
        <f t="array" ref="AW39">lb_call_delta_mc($N39,$C$7,$C$8,AW$35,$C$10,$C$11,$C$12,$C$13)</f>
        <v>7.8122864264928038E-2</v>
      </c>
      <c r="AX39" s="20" cm="1">
        <f t="array" ref="AX39">lb_call_delta_mc($N39,$C$7,$C$8,AX$35,$C$10,$C$11,$C$12,$C$13)</f>
        <v>5.4374020762451181E-2</v>
      </c>
      <c r="AY39" s="20">
        <v>0</v>
      </c>
      <c r="AZ39" s="20"/>
      <c r="BA39" s="21">
        <f>0.6*$C$6</f>
        <v>60</v>
      </c>
      <c r="BB39" s="20" cm="1">
        <f t="array" ref="BB39">lb_put_delta_mc($N39,$C$7,$C$8,BB$35,$C$10,$C$11,$C$12,$C$13)</f>
        <v>0.11682737522777083</v>
      </c>
      <c r="BC39" s="20" cm="1">
        <f t="array" ref="BC39">lb_put_delta_mc($N39,$C$7,$C$8,BC$35,$C$10,$C$11,$C$12,$C$13)</f>
        <v>0.11157256761336976</v>
      </c>
      <c r="BD39" s="20" cm="1">
        <f t="array" ref="BD39">lb_put_delta_mc($N39,$C$7,$C$8,BD$35,$C$10,$C$11,$C$12,$C$13)</f>
        <v>0.1059223701542597</v>
      </c>
      <c r="BE39" s="20" cm="1">
        <f t="array" ref="BE39">lb_put_delta_mc($N39,$C$7,$C$8,BE$35,$C$10,$C$11,$C$12,$C$13)</f>
        <v>9.9801234982024215E-2</v>
      </c>
      <c r="BF39" s="20" cm="1">
        <f t="array" ref="BF39">lb_put_delta_mc($N39,$C$7,$C$8,BF$35,$C$10,$C$11,$C$12,$C$13)</f>
        <v>9.3105350241491761E-2</v>
      </c>
      <c r="BG39" s="20" cm="1">
        <f t="array" ref="BG39">lb_put_delta_mc($N39,$C$7,$C$8,BG$35,$C$10,$C$11,$C$12,$C$13)</f>
        <v>8.5685820173944396E-2</v>
      </c>
      <c r="BH39" s="20" cm="1">
        <f t="array" ref="BH39">lb_put_delta_mc($N39,$C$7,$C$8,BH$35,$C$10,$C$11,$C$12,$C$13)</f>
        <v>7.7314155165775833E-2</v>
      </c>
      <c r="BI39" s="20" cm="1">
        <f t="array" ref="BI39">lb_put_delta_mc($N39,$C$7,$C$8,BI$35,$C$10,$C$11,$C$12,$C$13)</f>
        <v>6.7606796441763553E-2</v>
      </c>
      <c r="BJ39" s="20" cm="1">
        <f t="array" ref="BJ39">lb_put_delta_mc($N39,$C$7,$C$8,BJ$35,$C$10,$C$11,$C$12,$C$13)</f>
        <v>5.5835587823137266E-2</v>
      </c>
      <c r="BK39" s="20" cm="1">
        <f t="array" ref="BK39">lb_put_delta_mc($N39,$C$7,$C$8,BK$35,$C$10,$C$11,$C$12,$C$13)</f>
        <v>4.0059749784453695E-2</v>
      </c>
      <c r="BL39" s="20">
        <v>0</v>
      </c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</row>
    <row r="40" spans="1:114" ht="20.55" customHeight="1" x14ac:dyDescent="0.45">
      <c r="N40" s="21">
        <f>0.8*$C$6</f>
        <v>80</v>
      </c>
      <c r="O40" s="20" cm="1">
        <f t="array" ref="O40">lb_call_price_mc($N40,$C$7,$C$8,O$35,$C$10,$C$11,$C$12,$C$13)</f>
        <v>14.837889440316903</v>
      </c>
      <c r="P40" s="20" cm="1">
        <f t="array" ref="P40">lb_call_price_mc($N40,$C$7,$C$8,P$35,$C$10,$C$11,$C$12,$C$13)</f>
        <v>14.005312053576231</v>
      </c>
      <c r="Q40" s="20" cm="1">
        <f t="array" ref="Q40">lb_call_price_mc($N40,$C$7,$C$8,Q$35,$C$10,$C$11,$C$12,$C$13)</f>
        <v>13.132192309709007</v>
      </c>
      <c r="R40" s="20" cm="1">
        <f t="array" ref="R40">lb_call_price_mc($N40,$C$7,$C$8,R$35,$C$10,$C$11,$C$12,$C$13)</f>
        <v>12.210876705956313</v>
      </c>
      <c r="S40" s="20" cm="1">
        <f t="array" ref="S40">lb_call_price_mc($N40,$C$7,$C$8,S$35,$C$10,$C$11,$C$12,$C$13)</f>
        <v>11.230914118743438</v>
      </c>
      <c r="T40" s="20" cm="1">
        <f t="array" ref="T40">lb_call_price_mc($N40,$C$7,$C$8,T$35,$C$10,$C$11,$C$12,$C$13)</f>
        <v>10.177374821625479</v>
      </c>
      <c r="U40" s="20" cm="1">
        <f t="array" ref="U40">lb_call_price_mc($N40,$C$7,$C$8,U$35,$C$10,$C$11,$C$12,$C$13)</f>
        <v>9.0278629353326991</v>
      </c>
      <c r="V40" s="20" cm="1">
        <f t="array" ref="V40">lb_call_price_mc($N40,$C$7,$C$8,V$35,$C$10,$C$11,$C$12,$C$13)</f>
        <v>7.7441670393456219</v>
      </c>
      <c r="W40" s="20" cm="1">
        <f t="array" ref="W40">lb_call_price_mc($N40,$C$7,$C$8,W$35,$C$10,$C$11,$C$12,$C$13)</f>
        <v>6.2498291412077851</v>
      </c>
      <c r="X40" s="20" cm="1">
        <f t="array" ref="X40">lb_call_price_mc($N40,$C$7,$C$8,X$35,$C$10,$C$11,$C$12,$C$13)</f>
        <v>4.349921661010745</v>
      </c>
      <c r="Y40" s="20">
        <v>0</v>
      </c>
      <c r="Z40" s="20"/>
      <c r="AA40" s="21">
        <f>0.8*$C$6</f>
        <v>80</v>
      </c>
      <c r="AB40" s="20" cm="1">
        <f t="array" ref="AB40">lb_put_price_mc($N40,$C$7,$C$8,AB$35,$C$10,$C$11,$C$12,$C$13)</f>
        <v>9.3461900182141182</v>
      </c>
      <c r="AC40" s="20" cm="1">
        <f t="array" ref="AC40">lb_put_price_mc($N40,$C$7,$C$8,AC$35,$C$10,$C$11,$C$12,$C$13)</f>
        <v>8.9258054090555969</v>
      </c>
      <c r="AD40" s="20" cm="1">
        <f t="array" ref="AD40">lb_put_price_mc($N40,$C$7,$C$8,AD$35,$C$10,$C$11,$C$12,$C$13)</f>
        <v>8.47378961232757</v>
      </c>
      <c r="AE40" s="20" cm="1">
        <f t="array" ref="AE40">lb_put_price_mc($N40,$C$7,$C$8,AE$35,$C$10,$C$11,$C$12,$C$13)</f>
        <v>7.984098798551134</v>
      </c>
      <c r="AF40" s="20" cm="1">
        <f t="array" ref="AF40">lb_put_price_mc($N40,$C$7,$C$8,AF$35,$C$10,$C$11,$C$12,$C$13)</f>
        <v>7.4484280193207795</v>
      </c>
      <c r="AG40" s="20" cm="1">
        <f t="array" ref="AG40">lb_put_price_mc($N40,$C$7,$C$8,AG$35,$C$10,$C$11,$C$12,$C$13)</f>
        <v>6.854865613931179</v>
      </c>
      <c r="AH40" s="20" cm="1">
        <f t="array" ref="AH40">lb_put_price_mc($N40,$C$7,$C$8,AH$35,$C$10,$C$11,$C$12,$C$13)</f>
        <v>6.1851324132633163</v>
      </c>
      <c r="AI40" s="20" cm="1">
        <f t="array" ref="AI40">lb_put_price_mc($N40,$C$7,$C$8,AI$35,$C$10,$C$11,$C$12,$C$13)</f>
        <v>5.4085437153392499</v>
      </c>
      <c r="AJ40" s="20" cm="1">
        <f t="array" ref="AJ40">lb_put_price_mc($N40,$C$7,$C$8,AJ$35,$C$10,$C$11,$C$12,$C$13)</f>
        <v>4.4668470258579962</v>
      </c>
      <c r="AK40" s="20" cm="1">
        <f t="array" ref="AK40">lb_put_price_mc($N40,$C$7,$C$8,AK$35,$C$10,$C$11,$C$12,$C$13)</f>
        <v>3.2047799827498227</v>
      </c>
      <c r="AL40" s="20">
        <v>0</v>
      </c>
      <c r="AM40" s="20"/>
      <c r="AN40" s="21">
        <f>0.8*$C$6</f>
        <v>80</v>
      </c>
      <c r="AO40" s="20" cm="1">
        <f t="array" ref="AO40">lb_call_delta_mc($N40,$C$7,$C$8,AO$35,$C$10,$C$11,$C$12,$C$13)</f>
        <v>0.18547361800436588</v>
      </c>
      <c r="AP40" s="20" cm="1">
        <f t="array" ref="AP40">lb_call_delta_mc($N40,$C$7,$C$8,AP$35,$C$10,$C$11,$C$12,$C$13)</f>
        <v>0.17506640067004572</v>
      </c>
      <c r="AQ40" s="20" cm="1">
        <f t="array" ref="AQ40">lb_call_delta_mc($N40,$C$7,$C$8,AQ$35,$C$10,$C$11,$C$12,$C$13)</f>
        <v>0.1641524038711964</v>
      </c>
      <c r="AR40" s="20" cm="1">
        <f t="array" ref="AR40">lb_call_delta_mc($N40,$C$7,$C$8,AR$35,$C$10,$C$11,$C$12,$C$13)</f>
        <v>0.1526359588241602</v>
      </c>
      <c r="AS40" s="20" cm="1">
        <f t="array" ref="AS40">lb_call_delta_mc($N40,$C$7,$C$8,AS$35,$C$10,$C$11,$C$12,$C$13)</f>
        <v>0.14038642648406441</v>
      </c>
      <c r="AT40" s="20" cm="1">
        <f t="array" ref="AT40">lb_call_delta_mc($N40,$C$7,$C$8,AT$35,$C$10,$C$11,$C$12,$C$13)</f>
        <v>0.12721718527050185</v>
      </c>
      <c r="AU40" s="20" cm="1">
        <f t="array" ref="AU40">lb_call_delta_mc($N40,$C$7,$C$8,AU$35,$C$10,$C$11,$C$12,$C$13)</f>
        <v>0.11284828669185007</v>
      </c>
      <c r="AV40" s="20" cm="1">
        <f t="array" ref="AV40">lb_call_delta_mc($N40,$C$7,$C$8,AV$35,$C$10,$C$11,$C$12,$C$13)</f>
        <v>9.6802087991902444E-2</v>
      </c>
      <c r="AW40" s="20" cm="1">
        <f t="array" ref="AW40">lb_call_delta_mc($N40,$C$7,$C$8,AW$35,$C$10,$C$11,$C$12,$C$13)</f>
        <v>7.8122864264822275E-2</v>
      </c>
      <c r="AX40" s="20" cm="1">
        <f t="array" ref="AX40">lb_call_delta_mc($N40,$C$7,$C$8,AX$35,$C$10,$C$11,$C$12,$C$13)</f>
        <v>5.4374020762846274E-2</v>
      </c>
      <c r="AY40" s="20">
        <v>0</v>
      </c>
      <c r="AZ40" s="20"/>
      <c r="BA40" s="21">
        <f>0.8*$C$6</f>
        <v>80</v>
      </c>
      <c r="BB40" s="20" cm="1">
        <f t="array" ref="BB40">lb_put_delta_mc($N40,$C$7,$C$8,BB$35,$C$10,$C$11,$C$12,$C$13)</f>
        <v>0.11682737522753557</v>
      </c>
      <c r="BC40" s="20" cm="1">
        <f t="array" ref="BC40">lb_put_delta_mc($N40,$C$7,$C$8,BC$35,$C$10,$C$11,$C$12,$C$13)</f>
        <v>0.11157256761328795</v>
      </c>
      <c r="BD40" s="20" cm="1">
        <f t="array" ref="BD40">lb_put_delta_mc($N40,$C$7,$C$8,BD$35,$C$10,$C$11,$C$12,$C$13)</f>
        <v>0.1059223701540767</v>
      </c>
      <c r="BE40" s="20" cm="1">
        <f t="array" ref="BE40">lb_put_delta_mc($N40,$C$7,$C$8,BE$35,$C$10,$C$11,$C$12,$C$13)</f>
        <v>9.9801234981620662E-2</v>
      </c>
      <c r="BF40" s="20" cm="1">
        <f t="array" ref="BF40">lb_put_delta_mc($N40,$C$7,$C$8,BF$35,$C$10,$C$11,$C$12,$C$13)</f>
        <v>9.3105350241610194E-2</v>
      </c>
      <c r="BG40" s="20" cm="1">
        <f t="array" ref="BG40">lb_put_delta_mc($N40,$C$7,$C$8,BG$35,$C$10,$C$11,$C$12,$C$13)</f>
        <v>8.5685820174020336E-2</v>
      </c>
      <c r="BH40" s="20" cm="1">
        <f t="array" ref="BH40">lb_put_delta_mc($N40,$C$7,$C$8,BH$35,$C$10,$C$11,$C$12,$C$13)</f>
        <v>7.7314155165357001E-2</v>
      </c>
      <c r="BI40" s="20" cm="1">
        <f t="array" ref="BI40">lb_put_delta_mc($N40,$C$7,$C$8,BI$35,$C$10,$C$11,$C$12,$C$13)</f>
        <v>6.7606796441861489E-2</v>
      </c>
      <c r="BJ40" s="20" cm="1">
        <f t="array" ref="BJ40">lb_put_delta_mc($N40,$C$7,$C$8,BJ$35,$C$10,$C$11,$C$12,$C$13)</f>
        <v>5.5835587823139118E-2</v>
      </c>
      <c r="BK40" s="20" cm="1">
        <f t="array" ref="BK40">lb_put_delta_mc($N40,$C$7,$C$8,BK$35,$C$10,$C$11,$C$12,$C$13)</f>
        <v>4.0059749784131751E-2</v>
      </c>
      <c r="BL40" s="20">
        <v>0</v>
      </c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</row>
    <row r="41" spans="1:114" ht="20.55" customHeight="1" x14ac:dyDescent="0.45">
      <c r="N41" s="21">
        <f>$C$6</f>
        <v>100</v>
      </c>
      <c r="O41" s="20" cm="1">
        <f t="array" ref="O41">lb_call_price_mc($N41,$C$7,$C$8,O$35,$C$10,$C$11,$C$12,$C$13)</f>
        <v>18.547361800396118</v>
      </c>
      <c r="P41" s="20" cm="1">
        <f t="array" ref="P41">lb_call_price_mc($N41,$C$7,$C$8,P$35,$C$10,$C$11,$C$12,$C$13)</f>
        <v>17.506640066970299</v>
      </c>
      <c r="Q41" s="20" cm="1">
        <f t="array" ref="Q41">lb_call_price_mc($N41,$C$7,$C$8,Q$35,$C$10,$C$11,$C$12,$C$13)</f>
        <v>16.415240387136254</v>
      </c>
      <c r="R41" s="20" cm="1">
        <f t="array" ref="R41">lb_call_price_mc($N41,$C$7,$C$8,R$35,$C$10,$C$11,$C$12,$C$13)</f>
        <v>15.26359588244539</v>
      </c>
      <c r="S41" s="20" cm="1">
        <f t="array" ref="S41">lb_call_price_mc($N41,$C$7,$C$8,S$35,$C$10,$C$11,$C$12,$C$13)</f>
        <v>14.038642648429294</v>
      </c>
      <c r="T41" s="20" cm="1">
        <f t="array" ref="T41">lb_call_price_mc($N41,$C$7,$C$8,T$35,$C$10,$C$11,$C$12,$C$13)</f>
        <v>12.721718527031843</v>
      </c>
      <c r="U41" s="20" cm="1">
        <f t="array" ref="U41">lb_call_price_mc($N41,$C$7,$C$8,U$35,$C$10,$C$11,$C$12,$C$13)</f>
        <v>11.284828669165872</v>
      </c>
      <c r="V41" s="20" cm="1">
        <f t="array" ref="V41">lb_call_price_mc($N41,$C$7,$C$8,V$35,$C$10,$C$11,$C$12,$C$13)</f>
        <v>9.6802087991820365</v>
      </c>
      <c r="W41" s="20" cm="1">
        <f t="array" ref="W41">lb_call_price_mc($N41,$C$7,$C$8,W$35,$C$10,$C$11,$C$12,$C$13)</f>
        <v>7.8122864265097434</v>
      </c>
      <c r="X41" s="20" cm="1">
        <f t="array" ref="X41">lb_call_price_mc($N41,$C$7,$C$8,X$35,$C$10,$C$11,$C$12,$C$13)</f>
        <v>5.4374020762634396</v>
      </c>
      <c r="Y41" s="20">
        <v>0</v>
      </c>
      <c r="Z41" s="20"/>
      <c r="AA41" s="21">
        <f>$C$6</f>
        <v>100</v>
      </c>
      <c r="AB41" s="20" cm="1">
        <f t="array" ref="AB41">lb_put_price_mc($N41,$C$7,$C$8,AB$35,$C$10,$C$11,$C$12,$C$13)</f>
        <v>11.682737522767656</v>
      </c>
      <c r="AC41" s="20" cm="1">
        <f t="array" ref="AC41">lb_put_price_mc($N41,$C$7,$C$8,AC$35,$C$10,$C$11,$C$12,$C$13)</f>
        <v>11.157256761319488</v>
      </c>
      <c r="AD41" s="20" cm="1">
        <f t="array" ref="AD41">lb_put_price_mc($N41,$C$7,$C$8,AD$35,$C$10,$C$11,$C$12,$C$13)</f>
        <v>10.592237015409452</v>
      </c>
      <c r="AE41" s="20" cm="1">
        <f t="array" ref="AE41">lb_put_price_mc($N41,$C$7,$C$8,AE$35,$C$10,$C$11,$C$12,$C$13)</f>
        <v>9.9801234981889166</v>
      </c>
      <c r="AF41" s="20" cm="1">
        <f t="array" ref="AF41">lb_put_price_mc($N41,$C$7,$C$8,AF$35,$C$10,$C$11,$C$12,$C$13)</f>
        <v>9.3105350241509761</v>
      </c>
      <c r="AG41" s="20" cm="1">
        <f t="array" ref="AG41">lb_put_price_mc($N41,$C$7,$C$8,AG$35,$C$10,$C$11,$C$12,$C$13)</f>
        <v>8.5685820174139806</v>
      </c>
      <c r="AH41" s="20" cm="1">
        <f t="array" ref="AH41">lb_put_price_mc($N41,$C$7,$C$8,AH$35,$C$10,$C$11,$C$12,$C$13)</f>
        <v>7.7314155165791405</v>
      </c>
      <c r="AI41" s="20" cm="1">
        <f t="array" ref="AI41">lb_put_price_mc($N41,$C$7,$C$8,AI$35,$C$10,$C$11,$C$12,$C$13)</f>
        <v>6.760679644174064</v>
      </c>
      <c r="AJ41" s="20" cm="1">
        <f t="array" ref="AJ41">lb_put_price_mc($N41,$C$7,$C$8,AJ$35,$C$10,$C$11,$C$12,$C$13)</f>
        <v>5.5835587823224975</v>
      </c>
      <c r="AK41" s="20" cm="1">
        <f t="array" ref="AK41">lb_put_price_mc($N41,$C$7,$C$8,AK$35,$C$10,$C$11,$C$12,$C$13)</f>
        <v>4.0059749784372727</v>
      </c>
      <c r="AL41" s="20">
        <v>0</v>
      </c>
      <c r="AM41" s="20"/>
      <c r="AN41" s="21">
        <f>$C$6</f>
        <v>100</v>
      </c>
      <c r="AO41" s="20" cm="1">
        <f t="array" ref="AO41">lb_call_delta_mc($N41,$C$7,$C$8,AO$35,$C$10,$C$11,$C$12,$C$13)</f>
        <v>0.18547361800430867</v>
      </c>
      <c r="AP41" s="20" cm="1">
        <f t="array" ref="AP41">lb_call_delta_mc($N41,$C$7,$C$8,AP$35,$C$10,$C$11,$C$12,$C$13)</f>
        <v>0.17506640067014695</v>
      </c>
      <c r="AQ41" s="20" cm="1">
        <f t="array" ref="AQ41">lb_call_delta_mc($N41,$C$7,$C$8,AQ$35,$C$10,$C$11,$C$12,$C$13)</f>
        <v>0.16415240387139768</v>
      </c>
      <c r="AR41" s="20" cm="1">
        <f t="array" ref="AR41">lb_call_delta_mc($N41,$C$7,$C$8,AR$35,$C$10,$C$11,$C$12,$C$13)</f>
        <v>0.15263595882475045</v>
      </c>
      <c r="AS41" s="20" cm="1">
        <f t="array" ref="AS41">lb_call_delta_mc($N41,$C$7,$C$8,AS$35,$C$10,$C$11,$C$12,$C$13)</f>
        <v>0.14038642648458047</v>
      </c>
      <c r="AT41" s="20" cm="1">
        <f t="array" ref="AT41">lb_call_delta_mc($N41,$C$7,$C$8,AT$35,$C$10,$C$11,$C$12,$C$13)</f>
        <v>0.12721718527051343</v>
      </c>
      <c r="AU41" s="20" cm="1">
        <f t="array" ref="AU41">lb_call_delta_mc($N41,$C$7,$C$8,AU$35,$C$10,$C$11,$C$12,$C$13)</f>
        <v>0.11284828669195625</v>
      </c>
      <c r="AV41" s="20" cm="1">
        <f t="array" ref="AV41">lb_call_delta_mc($N41,$C$7,$C$8,AV$35,$C$10,$C$11,$C$12,$C$13)</f>
        <v>9.6802087991671046E-2</v>
      </c>
      <c r="AW41" s="20" cm="1">
        <f t="array" ref="AW41">lb_call_delta_mc($N41,$C$7,$C$8,AW$35,$C$10,$C$11,$C$12,$C$13)</f>
        <v>7.8122864265229575E-2</v>
      </c>
      <c r="AX41" s="20" cm="1">
        <f t="array" ref="AX41">lb_call_delta_mc($N41,$C$7,$C$8,AX$35,$C$10,$C$11,$C$12,$C$13)</f>
        <v>5.4374020762604343E-2</v>
      </c>
      <c r="AY41" s="20">
        <v>0</v>
      </c>
      <c r="AZ41" s="20"/>
      <c r="BA41" s="21">
        <f>$C$6</f>
        <v>100</v>
      </c>
      <c r="BB41" s="20" cm="1">
        <f t="array" ref="BB41">lb_put_delta_mc($N41,$C$7,$C$8,BB$35,$C$10,$C$11,$C$12,$C$13)</f>
        <v>0.11682737522750146</v>
      </c>
      <c r="BC41" s="20" cm="1">
        <f t="array" ref="BC41">lb_put_delta_mc($N41,$C$7,$C$8,BC$35,$C$10,$C$11,$C$12,$C$13)</f>
        <v>0.11157256761307763</v>
      </c>
      <c r="BD41" s="20" cm="1">
        <f t="array" ref="BD41">lb_put_delta_mc($N41,$C$7,$C$8,BD$35,$C$10,$C$11,$C$12,$C$13)</f>
        <v>0.10592237015430017</v>
      </c>
      <c r="BE41" s="20" cm="1">
        <f t="array" ref="BE41">lb_put_delta_mc($N41,$C$7,$C$8,BE$35,$C$10,$C$11,$C$12,$C$13)</f>
        <v>9.9801234981630807E-2</v>
      </c>
      <c r="BF41" s="20" cm="1">
        <f t="array" ref="BF41">lb_put_delta_mc($N41,$C$7,$C$8,BF$35,$C$10,$C$11,$C$12,$C$13)</f>
        <v>9.3105350241542359E-2</v>
      </c>
      <c r="BG41" s="20" cm="1">
        <f t="array" ref="BG41">lb_put_delta_mc($N41,$C$7,$C$8,BG$35,$C$10,$C$11,$C$12,$C$13)</f>
        <v>8.5685820173995453E-2</v>
      </c>
      <c r="BH41" s="20" cm="1">
        <f t="array" ref="BH41">lb_put_delta_mc($N41,$C$7,$C$8,BH$35,$C$10,$C$11,$C$12,$C$13)</f>
        <v>7.7314155165880721E-2</v>
      </c>
      <c r="BI41" s="20" cm="1">
        <f t="array" ref="BI41">lb_put_delta_mc($N41,$C$7,$C$8,BI$35,$C$10,$C$11,$C$12,$C$13)</f>
        <v>6.7606796441900124E-2</v>
      </c>
      <c r="BJ41" s="20" cm="1">
        <f t="array" ref="BJ41">lb_put_delta_mc($N41,$C$7,$C$8,BJ$35,$C$10,$C$11,$C$12,$C$13)</f>
        <v>5.5835587823118461E-2</v>
      </c>
      <c r="BK41" s="20" cm="1">
        <f t="array" ref="BK41">lb_put_delta_mc($N41,$C$7,$C$8,BK$35,$C$10,$C$11,$C$12,$C$13)</f>
        <v>4.0059749784362664E-2</v>
      </c>
      <c r="BL41" s="20">
        <v>0</v>
      </c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</row>
    <row r="42" spans="1:114" ht="20.55" customHeight="1" x14ac:dyDescent="0.45">
      <c r="N42" s="21">
        <f>1.2*$C$6</f>
        <v>120</v>
      </c>
      <c r="O42" s="20" cm="1">
        <f t="array" ref="O42">lb_call_price_mc($N42,$C$7,$C$8,O$35,$C$10,$C$11,$C$12,$C$13)</f>
        <v>22.256834160475339</v>
      </c>
      <c r="P42" s="20" cm="1">
        <f t="array" ref="P42">lb_call_price_mc($N42,$C$7,$C$8,P$35,$C$10,$C$11,$C$12,$C$13)</f>
        <v>21.007968080364346</v>
      </c>
      <c r="Q42" s="20" cm="1">
        <f t="array" ref="Q42">lb_call_price_mc($N42,$C$7,$C$8,Q$35,$C$10,$C$11,$C$12,$C$13)</f>
        <v>19.698288464563507</v>
      </c>
      <c r="R42" s="20" cm="1">
        <f t="array" ref="R42">lb_call_price_mc($N42,$C$7,$C$8,R$35,$C$10,$C$11,$C$12,$C$13)</f>
        <v>18.316315058934467</v>
      </c>
      <c r="S42" s="20" cm="1">
        <f t="array" ref="S42">lb_call_price_mc($N42,$C$7,$C$8,S$35,$C$10,$C$11,$C$12,$C$13)</f>
        <v>16.846371178115145</v>
      </c>
      <c r="T42" s="20" cm="1">
        <f t="array" ref="T42">lb_call_price_mc($N42,$C$7,$C$8,T$35,$C$10,$C$11,$C$12,$C$13)</f>
        <v>15.266062232438218</v>
      </c>
      <c r="U42" s="20" cm="1">
        <f t="array" ref="U42">lb_call_price_mc($N42,$C$7,$C$8,U$35,$C$10,$C$11,$C$12,$C$13)</f>
        <v>13.541794402999056</v>
      </c>
      <c r="V42" s="20" cm="1">
        <f t="array" ref="V42">lb_call_price_mc($N42,$C$7,$C$8,V$35,$C$10,$C$11,$C$12,$C$13)</f>
        <v>11.616250559018438</v>
      </c>
      <c r="W42" s="20" cm="1">
        <f t="array" ref="W42">lb_call_price_mc($N42,$C$7,$C$8,W$35,$C$10,$C$11,$C$12,$C$13)</f>
        <v>9.3747437118116821</v>
      </c>
      <c r="X42" s="20" cm="1">
        <f t="array" ref="X42">lb_call_price_mc($N42,$C$7,$C$8,X$35,$C$10,$C$11,$C$12,$C$13)</f>
        <v>6.5248824915161245</v>
      </c>
      <c r="Y42" s="20">
        <v>0</v>
      </c>
      <c r="Z42" s="20"/>
      <c r="AA42" s="21">
        <f>1.2*$C$6</f>
        <v>120</v>
      </c>
      <c r="AB42" s="20" cm="1">
        <f t="array" ref="AB42">lb_put_price_mc($N42,$C$7,$C$8,AB$35,$C$10,$C$11,$C$12,$C$13)</f>
        <v>14.019285027321185</v>
      </c>
      <c r="AC42" s="20" cm="1">
        <f t="array" ref="AC42">lb_put_price_mc($N42,$C$7,$C$8,AC$35,$C$10,$C$11,$C$12,$C$13)</f>
        <v>13.388708113583375</v>
      </c>
      <c r="AD42" s="20" cm="1">
        <f t="array" ref="AD42">lb_put_price_mc($N42,$C$7,$C$8,AD$35,$C$10,$C$11,$C$12,$C$13)</f>
        <v>12.710684418491349</v>
      </c>
      <c r="AE42" s="20" cm="1">
        <f t="array" ref="AE42">lb_put_price_mc($N42,$C$7,$C$8,AE$35,$C$10,$C$11,$C$12,$C$13)</f>
        <v>11.976148197826699</v>
      </c>
      <c r="AF42" s="20" cm="1">
        <f t="array" ref="AF42">lb_put_price_mc($N42,$C$7,$C$8,AF$35,$C$10,$C$11,$C$12,$C$13)</f>
        <v>11.172642028981164</v>
      </c>
      <c r="AG42" s="20" cm="1">
        <f t="array" ref="AG42">lb_put_price_mc($N42,$C$7,$C$8,AG$35,$C$10,$C$11,$C$12,$C$13)</f>
        <v>10.282298420896769</v>
      </c>
      <c r="AH42" s="20" cm="1">
        <f t="array" ref="AH42">lb_put_price_mc($N42,$C$7,$C$8,AH$35,$C$10,$C$11,$C$12,$C$13)</f>
        <v>9.2776986198949647</v>
      </c>
      <c r="AI42" s="20" cm="1">
        <f t="array" ref="AI42">lb_put_price_mc($N42,$C$7,$C$8,AI$35,$C$10,$C$11,$C$12,$C$13)</f>
        <v>8.11281557300887</v>
      </c>
      <c r="AJ42" s="20" cm="1">
        <f t="array" ref="AJ42">lb_put_price_mc($N42,$C$7,$C$8,AJ$35,$C$10,$C$11,$C$12,$C$13)</f>
        <v>6.7002705387869979</v>
      </c>
      <c r="AK42" s="20" cm="1">
        <f t="array" ref="AK42">lb_put_price_mc($N42,$C$7,$C$8,AK$35,$C$10,$C$11,$C$12,$C$13)</f>
        <v>4.8071699741247205</v>
      </c>
      <c r="AL42" s="20">
        <v>0</v>
      </c>
      <c r="AM42" s="20"/>
      <c r="AN42" s="21">
        <f>1.2*$C$6</f>
        <v>120</v>
      </c>
      <c r="AO42" s="20" cm="1">
        <f t="array" ref="AO42">lb_call_delta_mc($N42,$C$7,$C$8,AO$35,$C$10,$C$11,$C$12,$C$13)</f>
        <v>0.18547361800372089</v>
      </c>
      <c r="AP42" s="20" cm="1">
        <f t="array" ref="AP42">lb_call_delta_mc($N42,$C$7,$C$8,AP$35,$C$10,$C$11,$C$12,$C$13)</f>
        <v>0.17506640066971008</v>
      </c>
      <c r="AQ42" s="20" cm="1">
        <f t="array" ref="AQ42">lb_call_delta_mc($N42,$C$7,$C$8,AQ$35,$C$10,$C$11,$C$12,$C$13)</f>
        <v>0.16415240387096683</v>
      </c>
      <c r="AR42" s="20" cm="1">
        <f t="array" ref="AR42">lb_call_delta_mc($N42,$C$7,$C$8,AR$35,$C$10,$C$11,$C$12,$C$13)</f>
        <v>0.15263595882421235</v>
      </c>
      <c r="AS42" s="20" cm="1">
        <f t="array" ref="AS42">lb_call_delta_mc($N42,$C$7,$C$8,AS$35,$C$10,$C$11,$C$12,$C$13)</f>
        <v>0.1403864264841308</v>
      </c>
      <c r="AT42" s="20" cm="1">
        <f t="array" ref="AT42">lb_call_delta_mc($N42,$C$7,$C$8,AT$35,$C$10,$C$11,$C$12,$C$13)</f>
        <v>0.12721718527016207</v>
      </c>
      <c r="AU42" s="20" cm="1">
        <f t="array" ref="AU42">lb_call_delta_mc($N42,$C$7,$C$8,AU$35,$C$10,$C$11,$C$12,$C$13)</f>
        <v>0.11284828669190076</v>
      </c>
      <c r="AV42" s="20" cm="1">
        <f t="array" ref="AV42">lb_call_delta_mc($N42,$C$7,$C$8,AV$35,$C$10,$C$11,$C$12,$C$13)</f>
        <v>9.6802087991837926E-2</v>
      </c>
      <c r="AW42" s="20" cm="1">
        <f t="array" ref="AW42">lb_call_delta_mc($N42,$C$7,$C$8,AW$35,$C$10,$C$11,$C$12,$C$13)</f>
        <v>7.8122864264928038E-2</v>
      </c>
      <c r="AX42" s="20" cm="1">
        <f t="array" ref="AX42">lb_call_delta_mc($N42,$C$7,$C$8,AX$35,$C$10,$C$11,$C$12,$C$13)</f>
        <v>5.4374020762451181E-2</v>
      </c>
      <c r="AY42" s="20">
        <v>0</v>
      </c>
      <c r="AZ42" s="20"/>
      <c r="BA42" s="21">
        <f>1.2*$C$6</f>
        <v>120</v>
      </c>
      <c r="BB42" s="20" cm="1">
        <f t="array" ref="BB42">lb_put_delta_mc($N42,$C$7,$C$8,BB$35,$C$10,$C$11,$C$12,$C$13)</f>
        <v>0.11682737522777083</v>
      </c>
      <c r="BC42" s="20" cm="1">
        <f t="array" ref="BC42">lb_put_delta_mc($N42,$C$7,$C$8,BC$35,$C$10,$C$11,$C$12,$C$13)</f>
        <v>0.11157256761336976</v>
      </c>
      <c r="BD42" s="20" cm="1">
        <f t="array" ref="BD42">lb_put_delta_mc($N42,$C$7,$C$8,BD$35,$C$10,$C$11,$C$12,$C$13)</f>
        <v>0.1059223701542597</v>
      </c>
      <c r="BE42" s="20" cm="1">
        <f t="array" ref="BE42">lb_put_delta_mc($N42,$C$7,$C$8,BE$35,$C$10,$C$11,$C$12,$C$13)</f>
        <v>9.9801234982024215E-2</v>
      </c>
      <c r="BF42" s="20" cm="1">
        <f t="array" ref="BF42">lb_put_delta_mc($N42,$C$7,$C$8,BF$35,$C$10,$C$11,$C$12,$C$13)</f>
        <v>9.3105350241491761E-2</v>
      </c>
      <c r="BG42" s="20" cm="1">
        <f t="array" ref="BG42">lb_put_delta_mc($N42,$C$7,$C$8,BG$35,$C$10,$C$11,$C$12,$C$13)</f>
        <v>8.5685820173944396E-2</v>
      </c>
      <c r="BH42" s="20" cm="1">
        <f t="array" ref="BH42">lb_put_delta_mc($N42,$C$7,$C$8,BH$35,$C$10,$C$11,$C$12,$C$13)</f>
        <v>7.7314155165775833E-2</v>
      </c>
      <c r="BI42" s="20" cm="1">
        <f t="array" ref="BI42">lb_put_delta_mc($N42,$C$7,$C$8,BI$35,$C$10,$C$11,$C$12,$C$13)</f>
        <v>6.7606796441763553E-2</v>
      </c>
      <c r="BJ42" s="20" cm="1">
        <f t="array" ref="BJ42">lb_put_delta_mc($N42,$C$7,$C$8,BJ$35,$C$10,$C$11,$C$12,$C$13)</f>
        <v>5.5835587823137266E-2</v>
      </c>
      <c r="BK42" s="20" cm="1">
        <f t="array" ref="BK42">lb_put_delta_mc($N42,$C$7,$C$8,BK$35,$C$10,$C$11,$C$12,$C$13)</f>
        <v>4.0059749784453695E-2</v>
      </c>
      <c r="BL42" s="20">
        <v>0</v>
      </c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</row>
    <row r="43" spans="1:114" ht="20.55" customHeight="1" x14ac:dyDescent="0.45">
      <c r="N43" s="21">
        <f>1.4*$C$6</f>
        <v>140</v>
      </c>
      <c r="O43" s="20" cm="1">
        <f t="array" ref="O43">lb_call_price_mc($N43,$C$7,$C$8,O$35,$C$10,$C$11,$C$12,$C$13)</f>
        <v>25.966306520554568</v>
      </c>
      <c r="P43" s="20" cm="1">
        <f t="array" ref="P43">lb_call_price_mc($N43,$C$7,$C$8,P$35,$C$10,$C$11,$C$12,$C$13)</f>
        <v>24.509296093758415</v>
      </c>
      <c r="Q43" s="20" cm="1">
        <f t="array" ref="Q43">lb_call_price_mc($N43,$C$7,$C$8,Q$35,$C$10,$C$11,$C$12,$C$13)</f>
        <v>22.981336541990757</v>
      </c>
      <c r="R43" s="20" cm="1">
        <f t="array" ref="R43">lb_call_price_mc($N43,$C$7,$C$8,R$35,$C$10,$C$11,$C$12,$C$13)</f>
        <v>21.36903423542357</v>
      </c>
      <c r="S43" s="20" cm="1">
        <f t="array" ref="S43">lb_call_price_mc($N43,$C$7,$C$8,S$35,$C$10,$C$11,$C$12,$C$13)</f>
        <v>19.654099707801009</v>
      </c>
      <c r="T43" s="20" cm="1">
        <f t="array" ref="T43">lb_call_price_mc($N43,$C$7,$C$8,T$35,$C$10,$C$11,$C$12,$C$13)</f>
        <v>17.810405937844582</v>
      </c>
      <c r="U43" s="20" cm="1">
        <f t="array" ref="U43">lb_call_price_mc($N43,$C$7,$C$8,U$35,$C$10,$C$11,$C$12,$C$13)</f>
        <v>15.798760136832216</v>
      </c>
      <c r="V43" s="20" cm="1">
        <f t="array" ref="V43">lb_call_price_mc($N43,$C$7,$C$8,V$35,$C$10,$C$11,$C$12,$C$13)</f>
        <v>13.552292318854844</v>
      </c>
      <c r="W43" s="20" cm="1">
        <f t="array" ref="W43">lb_call_price_mc($N43,$C$7,$C$8,W$35,$C$10,$C$11,$C$12,$C$13)</f>
        <v>10.937200997113633</v>
      </c>
      <c r="X43" s="20" cm="1">
        <f t="array" ref="X43">lb_call_price_mc($N43,$C$7,$C$8,X$35,$C$10,$C$11,$C$12,$C$13)</f>
        <v>7.6123629067688023</v>
      </c>
      <c r="Y43" s="20">
        <v>0</v>
      </c>
      <c r="Z43" s="20"/>
      <c r="AA43" s="21">
        <f>1.4*$C$6</f>
        <v>140</v>
      </c>
      <c r="AB43" s="20" cm="1">
        <f t="array" ref="AB43">lb_put_price_mc($N43,$C$7,$C$8,AB$35,$C$10,$C$11,$C$12,$C$13)</f>
        <v>16.355832531874711</v>
      </c>
      <c r="AC43" s="20" cm="1">
        <f t="array" ref="AC43">lb_put_price_mc($N43,$C$7,$C$8,AC$35,$C$10,$C$11,$C$12,$C$13)</f>
        <v>15.620159465847278</v>
      </c>
      <c r="AD43" s="20" cm="1">
        <f t="array" ref="AD43">lb_put_price_mc($N43,$C$7,$C$8,AD$35,$C$10,$C$11,$C$12,$C$13)</f>
        <v>14.829131821573238</v>
      </c>
      <c r="AE43" s="20" cm="1">
        <f t="array" ref="AE43">lb_put_price_mc($N43,$C$7,$C$8,AE$35,$C$10,$C$11,$C$12,$C$13)</f>
        <v>13.972172897464489</v>
      </c>
      <c r="AF43" s="20" cm="1">
        <f t="array" ref="AF43">lb_put_price_mc($N43,$C$7,$C$8,AF$35,$C$10,$C$11,$C$12,$C$13)</f>
        <v>13.034749033811371</v>
      </c>
      <c r="AG43" s="20" cm="1">
        <f t="array" ref="AG43">lb_put_price_mc($N43,$C$7,$C$8,AG$35,$C$10,$C$11,$C$12,$C$13)</f>
        <v>11.996014824379571</v>
      </c>
      <c r="AH43" s="20" cm="1">
        <f t="array" ref="AH43">lb_put_price_mc($N43,$C$7,$C$8,AH$35,$C$10,$C$11,$C$12,$C$13)</f>
        <v>10.823981723210803</v>
      </c>
      <c r="AI43" s="20" cm="1">
        <f t="array" ref="AI43">lb_put_price_mc($N43,$C$7,$C$8,AI$35,$C$10,$C$11,$C$12,$C$13)</f>
        <v>9.4649515018436734</v>
      </c>
      <c r="AJ43" s="20" cm="1">
        <f t="array" ref="AJ43">lb_put_price_mc($N43,$C$7,$C$8,AJ$35,$C$10,$C$11,$C$12,$C$13)</f>
        <v>7.816982295251484</v>
      </c>
      <c r="AK43" s="20" cm="1">
        <f t="array" ref="AK43">lb_put_price_mc($N43,$C$7,$C$8,AK$35,$C$10,$C$11,$C$12,$C$13)</f>
        <v>5.6083649698121807</v>
      </c>
      <c r="AL43" s="20">
        <v>0</v>
      </c>
      <c r="AM43" s="20"/>
      <c r="AN43" s="21">
        <f>1.4*$C$6</f>
        <v>140</v>
      </c>
      <c r="AO43" s="20" cm="1">
        <f t="array" ref="AO43">lb_call_delta_mc($N43,$C$7,$C$8,AO$35,$C$10,$C$11,$C$12,$C$13)</f>
        <v>0.18547361800429771</v>
      </c>
      <c r="AP43" s="20" cm="1">
        <f t="array" ref="AP43">lb_call_delta_mc($N43,$C$7,$C$8,AP$35,$C$10,$C$11,$C$12,$C$13)</f>
        <v>0.1750664006696446</v>
      </c>
      <c r="AQ43" s="20" cm="1">
        <f t="array" ref="AQ43">lb_call_delta_mc($N43,$C$7,$C$8,AQ$35,$C$10,$C$11,$C$12,$C$13)</f>
        <v>0.16415240387169699</v>
      </c>
      <c r="AR43" s="20" cm="1">
        <f t="array" ref="AR43">lb_call_delta_mc($N43,$C$7,$C$8,AR$35,$C$10,$C$11,$C$12,$C$13)</f>
        <v>0.15263595882451927</v>
      </c>
      <c r="AS43" s="20" cm="1">
        <f t="array" ref="AS43">lb_call_delta_mc($N43,$C$7,$C$8,AS$35,$C$10,$C$11,$C$12,$C$13)</f>
        <v>0.14038642648396915</v>
      </c>
      <c r="AT43" s="20" cm="1">
        <f t="array" ref="AT43">lb_call_delta_mc($N43,$C$7,$C$8,AT$35,$C$10,$C$11,$C$12,$C$13)</f>
        <v>0.12721718527022052</v>
      </c>
      <c r="AU43" s="20" cm="1">
        <f t="array" ref="AU43">lb_call_delta_mc($N43,$C$7,$C$8,AU$35,$C$10,$C$11,$C$12,$C$13)</f>
        <v>0.11284828669164228</v>
      </c>
      <c r="AV43" s="20" cm="1">
        <f t="array" ref="AV43">lb_call_delta_mc($N43,$C$7,$C$8,AV$35,$C$10,$C$11,$C$12,$C$13)</f>
        <v>9.6802087991632479E-2</v>
      </c>
      <c r="AW43" s="20" cm="1">
        <f t="array" ref="AW43">lb_call_delta_mc($N43,$C$7,$C$8,AW$35,$C$10,$C$11,$C$12,$C$13)</f>
        <v>7.8122864265193021E-2</v>
      </c>
      <c r="AX43" s="20" cm="1">
        <f t="array" ref="AX43">lb_call_delta_mc($N43,$C$7,$C$8,AX$35,$C$10,$C$11,$C$12,$C$13)</f>
        <v>5.4374020762481018E-2</v>
      </c>
      <c r="AY43" s="20">
        <v>0</v>
      </c>
      <c r="AZ43" s="20"/>
      <c r="BA43" s="21">
        <f>1.4*$C$6</f>
        <v>140</v>
      </c>
      <c r="BB43" s="20" cm="1">
        <f t="array" ref="BB43">lb_put_delta_mc($N43,$C$7,$C$8,BB$35,$C$10,$C$11,$C$12,$C$13)</f>
        <v>0.116827375227358</v>
      </c>
      <c r="BC43" s="20" cm="1">
        <f t="array" ref="BC43">lb_put_delta_mc($N43,$C$7,$C$8,BC$35,$C$10,$C$11,$C$12,$C$13)</f>
        <v>0.11157256761282099</v>
      </c>
      <c r="BD43" s="20" cm="1">
        <f t="array" ref="BD43">lb_put_delta_mc($N43,$C$7,$C$8,BD$35,$C$10,$C$11,$C$12,$C$13)</f>
        <v>0.1059223701541854</v>
      </c>
      <c r="BE43" s="20" cm="1">
        <f t="array" ref="BE43">lb_put_delta_mc($N43,$C$7,$C$8,BE$35,$C$10,$C$11,$C$12,$C$13)</f>
        <v>9.9801234981671386E-2</v>
      </c>
      <c r="BF43" s="20" cm="1">
        <f t="array" ref="BF43">lb_put_delta_mc($N43,$C$7,$C$8,BF$35,$C$10,$C$11,$C$12,$C$13)</f>
        <v>9.3105350241909551E-2</v>
      </c>
      <c r="BG43" s="20" cm="1">
        <f t="array" ref="BG43">lb_put_delta_mc($N43,$C$7,$C$8,BG$35,$C$10,$C$11,$C$12,$C$13)</f>
        <v>8.568582017444587E-2</v>
      </c>
      <c r="BH43" s="20" cm="1">
        <f t="array" ref="BH43">lb_put_delta_mc($N43,$C$7,$C$8,BH$35,$C$10,$C$11,$C$12,$C$13)</f>
        <v>7.731415516574934E-2</v>
      </c>
      <c r="BI43" s="20" cm="1">
        <f t="array" ref="BI43">lb_put_delta_mc($N43,$C$7,$C$8,BI$35,$C$10,$C$11,$C$12,$C$13)</f>
        <v>6.7606796441740016E-2</v>
      </c>
      <c r="BJ43" s="20" cm="1">
        <f t="array" ref="BJ43">lb_put_delta_mc($N43,$C$7,$C$8,BJ$35,$C$10,$C$11,$C$12,$C$13)</f>
        <v>5.5835587823467848E-2</v>
      </c>
      <c r="BK43" s="20" cm="1">
        <f t="array" ref="BK43">lb_put_delta_mc($N43,$C$7,$C$8,BK$35,$C$10,$C$11,$C$12,$C$13)</f>
        <v>4.005974978453529E-2</v>
      </c>
      <c r="BL43" s="20">
        <v>0</v>
      </c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0"/>
    </row>
    <row r="44" spans="1:114" ht="20.55" customHeight="1" x14ac:dyDescent="0.45">
      <c r="N44" s="21">
        <f>1.6*$C$6</f>
        <v>160</v>
      </c>
      <c r="O44" s="20" cm="1">
        <f t="array" ref="O44">lb_call_price_mc($N44,$C$7,$C$8,O$35,$C$10,$C$11,$C$12,$C$13)</f>
        <v>29.675778880633807</v>
      </c>
      <c r="P44" s="20" cm="1">
        <f t="array" ref="P44">lb_call_price_mc($N44,$C$7,$C$8,P$35,$C$10,$C$11,$C$12,$C$13)</f>
        <v>28.010624107152463</v>
      </c>
      <c r="Q44" s="20" cm="1">
        <f t="array" ref="Q44">lb_call_price_mc($N44,$C$7,$C$8,Q$35,$C$10,$C$11,$C$12,$C$13)</f>
        <v>26.264384619418014</v>
      </c>
      <c r="R44" s="20" cm="1">
        <f t="array" ref="R44">lb_call_price_mc($N44,$C$7,$C$8,R$35,$C$10,$C$11,$C$12,$C$13)</f>
        <v>24.421753411912626</v>
      </c>
      <c r="S44" s="20" cm="1">
        <f t="array" ref="S44">lb_call_price_mc($N44,$C$7,$C$8,S$35,$C$10,$C$11,$C$12,$C$13)</f>
        <v>22.461828237486877</v>
      </c>
      <c r="T44" s="20" cm="1">
        <f t="array" ref="T44">lb_call_price_mc($N44,$C$7,$C$8,T$35,$C$10,$C$11,$C$12,$C$13)</f>
        <v>20.354749643250958</v>
      </c>
      <c r="U44" s="20" cm="1">
        <f t="array" ref="U44">lb_call_price_mc($N44,$C$7,$C$8,U$35,$C$10,$C$11,$C$12,$C$13)</f>
        <v>18.055725870665398</v>
      </c>
      <c r="V44" s="20" cm="1">
        <f t="array" ref="V44">lb_call_price_mc($N44,$C$7,$C$8,V$35,$C$10,$C$11,$C$12,$C$13)</f>
        <v>15.488334078691244</v>
      </c>
      <c r="W44" s="20" cm="1">
        <f t="array" ref="W44">lb_call_price_mc($N44,$C$7,$C$8,W$35,$C$10,$C$11,$C$12,$C$13)</f>
        <v>12.49965828241557</v>
      </c>
      <c r="X44" s="20" cm="1">
        <f t="array" ref="X44">lb_call_price_mc($N44,$C$7,$C$8,X$35,$C$10,$C$11,$C$12,$C$13)</f>
        <v>8.6998433220214899</v>
      </c>
      <c r="Y44" s="20">
        <v>0</v>
      </c>
      <c r="Z44" s="20"/>
      <c r="AA44" s="21">
        <f>1.6*$C$6</f>
        <v>160</v>
      </c>
      <c r="AB44" s="20" cm="1">
        <f t="array" ref="AB44">lb_put_price_mc($N44,$C$7,$C$8,AB$35,$C$10,$C$11,$C$12,$C$13)</f>
        <v>18.692380036428236</v>
      </c>
      <c r="AC44" s="20" cm="1">
        <f t="array" ref="AC44">lb_put_price_mc($N44,$C$7,$C$8,AC$35,$C$10,$C$11,$C$12,$C$13)</f>
        <v>17.851610818111194</v>
      </c>
      <c r="AD44" s="20" cm="1">
        <f t="array" ref="AD44">lb_put_price_mc($N44,$C$7,$C$8,AD$35,$C$10,$C$11,$C$12,$C$13)</f>
        <v>16.94757922465514</v>
      </c>
      <c r="AE44" s="20" cm="1">
        <f t="array" ref="AE44">lb_put_price_mc($N44,$C$7,$C$8,AE$35,$C$10,$C$11,$C$12,$C$13)</f>
        <v>15.968197597102268</v>
      </c>
      <c r="AF44" s="20" cm="1">
        <f t="array" ref="AF44">lb_put_price_mc($N44,$C$7,$C$8,AF$35,$C$10,$C$11,$C$12,$C$13)</f>
        <v>14.896856038641559</v>
      </c>
      <c r="AG44" s="20" cm="1">
        <f t="array" ref="AG44">lb_put_price_mc($N44,$C$7,$C$8,AG$35,$C$10,$C$11,$C$12,$C$13)</f>
        <v>13.709731227862358</v>
      </c>
      <c r="AH44" s="20" cm="1">
        <f t="array" ref="AH44">lb_put_price_mc($N44,$C$7,$C$8,AH$35,$C$10,$C$11,$C$12,$C$13)</f>
        <v>12.370264826526633</v>
      </c>
      <c r="AI44" s="20" cm="1">
        <f t="array" ref="AI44">lb_put_price_mc($N44,$C$7,$C$8,AI$35,$C$10,$C$11,$C$12,$C$13)</f>
        <v>10.8170874306785</v>
      </c>
      <c r="AJ44" s="20" cm="1">
        <f t="array" ref="AJ44">lb_put_price_mc($N44,$C$7,$C$8,AJ$35,$C$10,$C$11,$C$12,$C$13)</f>
        <v>8.9336940517159924</v>
      </c>
      <c r="AK44" s="20" cm="1">
        <f t="array" ref="AK44">lb_put_price_mc($N44,$C$7,$C$8,AK$35,$C$10,$C$11,$C$12,$C$13)</f>
        <v>6.4095599654996454</v>
      </c>
      <c r="AL44" s="20">
        <v>0</v>
      </c>
      <c r="AM44" s="20"/>
      <c r="AN44" s="21">
        <f>1.6*$C$6</f>
        <v>160</v>
      </c>
      <c r="AO44" s="20" cm="1">
        <f t="array" ref="AO44">lb_call_delta_mc($N44,$C$7,$C$8,AO$35,$C$10,$C$11,$C$12,$C$13)</f>
        <v>0.18547361800436588</v>
      </c>
      <c r="AP44" s="20" cm="1">
        <f t="array" ref="AP44">lb_call_delta_mc($N44,$C$7,$C$8,AP$35,$C$10,$C$11,$C$12,$C$13)</f>
        <v>0.17506640067004572</v>
      </c>
      <c r="AQ44" s="20" cm="1">
        <f t="array" ref="AQ44">lb_call_delta_mc($N44,$C$7,$C$8,AQ$35,$C$10,$C$11,$C$12,$C$13)</f>
        <v>0.1641524038711964</v>
      </c>
      <c r="AR44" s="20" cm="1">
        <f t="array" ref="AR44">lb_call_delta_mc($N44,$C$7,$C$8,AR$35,$C$10,$C$11,$C$12,$C$13)</f>
        <v>0.1526359588241602</v>
      </c>
      <c r="AS44" s="20" cm="1">
        <f t="array" ref="AS44">lb_call_delta_mc($N44,$C$7,$C$8,AS$35,$C$10,$C$11,$C$12,$C$13)</f>
        <v>0.14038642648406441</v>
      </c>
      <c r="AT44" s="20" cm="1">
        <f t="array" ref="AT44">lb_call_delta_mc($N44,$C$7,$C$8,AT$35,$C$10,$C$11,$C$12,$C$13)</f>
        <v>0.12721718527050185</v>
      </c>
      <c r="AU44" s="20" cm="1">
        <f t="array" ref="AU44">lb_call_delta_mc($N44,$C$7,$C$8,AU$35,$C$10,$C$11,$C$12,$C$13)</f>
        <v>0.11284828669185007</v>
      </c>
      <c r="AV44" s="20" cm="1">
        <f t="array" ref="AV44">lb_call_delta_mc($N44,$C$7,$C$8,AV$35,$C$10,$C$11,$C$12,$C$13)</f>
        <v>9.6802087991902444E-2</v>
      </c>
      <c r="AW44" s="20" cm="1">
        <f t="array" ref="AW44">lb_call_delta_mc($N44,$C$7,$C$8,AW$35,$C$10,$C$11,$C$12,$C$13)</f>
        <v>7.8122864264822275E-2</v>
      </c>
      <c r="AX44" s="20" cm="1">
        <f t="array" ref="AX44">lb_call_delta_mc($N44,$C$7,$C$8,AX$35,$C$10,$C$11,$C$12,$C$13)</f>
        <v>5.4374020762846274E-2</v>
      </c>
      <c r="AY44" s="20">
        <v>0</v>
      </c>
      <c r="AZ44" s="20"/>
      <c r="BA44" s="21">
        <f>1.6*$C$6</f>
        <v>160</v>
      </c>
      <c r="BB44" s="20" cm="1">
        <f t="array" ref="BB44">lb_put_delta_mc($N44,$C$7,$C$8,BB$35,$C$10,$C$11,$C$12,$C$13)</f>
        <v>0.11682737522753557</v>
      </c>
      <c r="BC44" s="20" cm="1">
        <f t="array" ref="BC44">lb_put_delta_mc($N44,$C$7,$C$8,BC$35,$C$10,$C$11,$C$12,$C$13)</f>
        <v>0.11157256761328795</v>
      </c>
      <c r="BD44" s="20" cm="1">
        <f t="array" ref="BD44">lb_put_delta_mc($N44,$C$7,$C$8,BD$35,$C$10,$C$11,$C$12,$C$13)</f>
        <v>0.1059223701540767</v>
      </c>
      <c r="BE44" s="20" cm="1">
        <f t="array" ref="BE44">lb_put_delta_mc($N44,$C$7,$C$8,BE$35,$C$10,$C$11,$C$12,$C$13)</f>
        <v>9.9801234981620662E-2</v>
      </c>
      <c r="BF44" s="20" cm="1">
        <f t="array" ref="BF44">lb_put_delta_mc($N44,$C$7,$C$8,BF$35,$C$10,$C$11,$C$12,$C$13)</f>
        <v>9.3105350241610194E-2</v>
      </c>
      <c r="BG44" s="20" cm="1">
        <f t="array" ref="BG44">lb_put_delta_mc($N44,$C$7,$C$8,BG$35,$C$10,$C$11,$C$12,$C$13)</f>
        <v>8.5685820174020336E-2</v>
      </c>
      <c r="BH44" s="20" cm="1">
        <f t="array" ref="BH44">lb_put_delta_mc($N44,$C$7,$C$8,BH$35,$C$10,$C$11,$C$12,$C$13)</f>
        <v>7.7314155165357001E-2</v>
      </c>
      <c r="BI44" s="20" cm="1">
        <f t="array" ref="BI44">lb_put_delta_mc($N44,$C$7,$C$8,BI$35,$C$10,$C$11,$C$12,$C$13)</f>
        <v>6.7606796441861489E-2</v>
      </c>
      <c r="BJ44" s="20" cm="1">
        <f t="array" ref="BJ44">lb_put_delta_mc($N44,$C$7,$C$8,BJ$35,$C$10,$C$11,$C$12,$C$13)</f>
        <v>5.5835587823139118E-2</v>
      </c>
      <c r="BK44" s="20" cm="1">
        <f t="array" ref="BK44">lb_put_delta_mc($N44,$C$7,$C$8,BK$35,$C$10,$C$11,$C$12,$C$13)</f>
        <v>4.0059749784131751E-2</v>
      </c>
      <c r="BL44" s="20">
        <v>0</v>
      </c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</row>
    <row r="45" spans="1:114" ht="20.55" customHeight="1" x14ac:dyDescent="0.45">
      <c r="N45" s="21">
        <f>1.8*$C$6</f>
        <v>180</v>
      </c>
      <c r="O45" s="20" cm="1">
        <f t="array" ref="O45">lb_call_price_mc($N45,$C$7,$C$8,O$35,$C$10,$C$11,$C$12,$C$13)</f>
        <v>33.385251240712989</v>
      </c>
      <c r="P45" s="20" cm="1">
        <f t="array" ref="P45">lb_call_price_mc($N45,$C$7,$C$8,P$35,$C$10,$C$11,$C$12,$C$13)</f>
        <v>31.5119521205465</v>
      </c>
      <c r="Q45" s="20" cm="1">
        <f t="array" ref="Q45">lb_call_price_mc($N45,$C$7,$C$8,Q$35,$C$10,$C$11,$C$12,$C$13)</f>
        <v>29.547432696845267</v>
      </c>
      <c r="R45" s="20" cm="1">
        <f t="array" ref="R45">lb_call_price_mc($N45,$C$7,$C$8,R$35,$C$10,$C$11,$C$12,$C$13)</f>
        <v>27.474472588401714</v>
      </c>
      <c r="S45" s="20" cm="1">
        <f t="array" ref="S45">lb_call_price_mc($N45,$C$7,$C$8,S$35,$C$10,$C$11,$C$12,$C$13)</f>
        <v>25.26955676717273</v>
      </c>
      <c r="T45" s="20" cm="1">
        <f t="array" ref="T45">lb_call_price_mc($N45,$C$7,$C$8,T$35,$C$10,$C$11,$C$12,$C$13)</f>
        <v>22.899093348657313</v>
      </c>
      <c r="U45" s="20" cm="1">
        <f t="array" ref="U45">lb_call_price_mc($N45,$C$7,$C$8,U$35,$C$10,$C$11,$C$12,$C$13)</f>
        <v>20.31269160449861</v>
      </c>
      <c r="V45" s="20" cm="1">
        <f t="array" ref="V45">lb_call_price_mc($N45,$C$7,$C$8,V$35,$C$10,$C$11,$C$12,$C$13)</f>
        <v>17.424375838527663</v>
      </c>
      <c r="W45" s="20" cm="1">
        <f t="array" ref="W45">lb_call_price_mc($N45,$C$7,$C$8,W$35,$C$10,$C$11,$C$12,$C$13)</f>
        <v>14.062115567717537</v>
      </c>
      <c r="X45" s="20" cm="1">
        <f t="array" ref="X45">lb_call_price_mc($N45,$C$7,$C$8,X$35,$C$10,$C$11,$C$12,$C$13)</f>
        <v>9.7873237372741908</v>
      </c>
      <c r="Y45" s="20">
        <v>0</v>
      </c>
      <c r="Z45" s="20"/>
      <c r="AA45" s="21">
        <f>1.8*$C$6</f>
        <v>180</v>
      </c>
      <c r="AB45" s="20" cm="1">
        <f t="array" ref="AB45">lb_put_price_mc($N45,$C$7,$C$8,AB$35,$C$10,$C$11,$C$12,$C$13)</f>
        <v>21.02892754098178</v>
      </c>
      <c r="AC45" s="20" cm="1">
        <f t="array" ref="AC45">lb_put_price_mc($N45,$C$7,$C$8,AC$35,$C$10,$C$11,$C$12,$C$13)</f>
        <v>20.083062170375086</v>
      </c>
      <c r="AD45" s="20" cm="1">
        <f t="array" ref="AD45">lb_put_price_mc($N45,$C$7,$C$8,AD$35,$C$10,$C$11,$C$12,$C$13)</f>
        <v>19.066026627737017</v>
      </c>
      <c r="AE45" s="20" cm="1">
        <f t="array" ref="AE45">lb_put_price_mc($N45,$C$7,$C$8,AE$35,$C$10,$C$11,$C$12,$C$13)</f>
        <v>17.964222296740054</v>
      </c>
      <c r="AF45" s="20" cm="1">
        <f t="array" ref="AF45">lb_put_price_mc($N45,$C$7,$C$8,AF$35,$C$10,$C$11,$C$12,$C$13)</f>
        <v>16.758963043471756</v>
      </c>
      <c r="AG45" s="20" cm="1">
        <f t="array" ref="AG45">lb_put_price_mc($N45,$C$7,$C$8,AG$35,$C$10,$C$11,$C$12,$C$13)</f>
        <v>15.423447631345175</v>
      </c>
      <c r="AH45" s="20" cm="1">
        <f t="array" ref="AH45">lb_put_price_mc($N45,$C$7,$C$8,AH$35,$C$10,$C$11,$C$12,$C$13)</f>
        <v>13.91654792984245</v>
      </c>
      <c r="AI45" s="20" cm="1">
        <f t="array" ref="AI45">lb_put_price_mc($N45,$C$7,$C$8,AI$35,$C$10,$C$11,$C$12,$C$13)</f>
        <v>12.169223359513309</v>
      </c>
      <c r="AJ45" s="20" cm="1">
        <f t="array" ref="AJ45">lb_put_price_mc($N45,$C$7,$C$8,AJ$35,$C$10,$C$11,$C$12,$C$13)</f>
        <v>10.050405808180493</v>
      </c>
      <c r="AK45" s="20" cm="1">
        <f t="array" ref="AK45">lb_put_price_mc($N45,$C$7,$C$8,AK$35,$C$10,$C$11,$C$12,$C$13)</f>
        <v>7.2107549611870905</v>
      </c>
      <c r="AL45" s="20">
        <v>0</v>
      </c>
      <c r="AM45" s="20"/>
      <c r="AN45" s="21">
        <f>1.8*$C$6</f>
        <v>180</v>
      </c>
      <c r="AO45" s="20" cm="1">
        <f t="array" ref="AO45">lb_call_delta_mc($N45,$C$7,$C$8,AO$35,$C$10,$C$11,$C$12,$C$13)</f>
        <v>0.18547361800426007</v>
      </c>
      <c r="AP45" s="20" cm="1">
        <f t="array" ref="AP45">lb_call_delta_mc($N45,$C$7,$C$8,AP$35,$C$10,$C$11,$C$12,$C$13)</f>
        <v>0.17506640066997331</v>
      </c>
      <c r="AQ45" s="20" cm="1">
        <f t="array" ref="AQ45">lb_call_delta_mc($N45,$C$7,$C$8,AQ$35,$C$10,$C$11,$C$12,$C$13)</f>
        <v>0.16415240387105795</v>
      </c>
      <c r="AR45" s="20" cm="1">
        <f t="array" ref="AR45">lb_call_delta_mc($N45,$C$7,$C$8,AR$35,$C$10,$C$11,$C$12,$C$13)</f>
        <v>0.15263595882419595</v>
      </c>
      <c r="AS45" s="20" cm="1">
        <f t="array" ref="AS45">lb_call_delta_mc($N45,$C$7,$C$8,AS$35,$C$10,$C$11,$C$12,$C$13)</f>
        <v>0.1403864264840621</v>
      </c>
      <c r="AT45" s="20" cm="1">
        <f t="array" ref="AT45">lb_call_delta_mc($N45,$C$7,$C$8,AT$35,$C$10,$C$11,$C$12,$C$13)</f>
        <v>0.12721718527065734</v>
      </c>
      <c r="AU45" s="20" cm="1">
        <f t="array" ref="AU45">lb_call_delta_mc($N45,$C$7,$C$8,AU$35,$C$10,$C$11,$C$12,$C$13)</f>
        <v>0.11284828669169546</v>
      </c>
      <c r="AV45" s="20" cm="1">
        <f t="array" ref="AV45">lb_call_delta_mc($N45,$C$7,$C$8,AV$35,$C$10,$C$11,$C$12,$C$13)</f>
        <v>9.6802087991524149E-2</v>
      </c>
      <c r="AW45" s="20" cm="1">
        <f t="array" ref="AW45">lb_call_delta_mc($N45,$C$7,$C$8,AW$35,$C$10,$C$11,$C$12,$C$13)</f>
        <v>7.8122864265149652E-2</v>
      </c>
      <c r="AX45" s="20" cm="1">
        <f t="array" ref="AX45">lb_call_delta_mc($N45,$C$7,$C$8,AX$35,$C$10,$C$11,$C$12,$C$13)</f>
        <v>5.437402076279884E-2</v>
      </c>
      <c r="AY45" s="20">
        <v>0</v>
      </c>
      <c r="AZ45" s="20"/>
      <c r="BA45" s="21">
        <f>1.8*$C$6</f>
        <v>180</v>
      </c>
      <c r="BB45" s="20" cm="1">
        <f t="array" ref="BB45">lb_put_delta_mc($N45,$C$7,$C$8,BB$35,$C$10,$C$11,$C$12,$C$13)</f>
        <v>0.11682737522764067</v>
      </c>
      <c r="BC45" s="20" cm="1">
        <f t="array" ref="BC45">lb_put_delta_mc($N45,$C$7,$C$8,BC$35,$C$10,$C$11,$C$12,$C$13)</f>
        <v>0.11157256761327053</v>
      </c>
      <c r="BD45" s="20" cm="1">
        <f t="array" ref="BD45">lb_put_delta_mc($N45,$C$7,$C$8,BD$35,$C$10,$C$11,$C$12,$C$13)</f>
        <v>0.10592237015422201</v>
      </c>
      <c r="BE45" s="20" cm="1">
        <f t="array" ref="BE45">lb_put_delta_mc($N45,$C$7,$C$8,BE$35,$C$10,$C$11,$C$12,$C$13)</f>
        <v>9.9801234982050457E-2</v>
      </c>
      <c r="BF45" s="20" cm="1">
        <f t="array" ref="BF45">lb_put_delta_mc($N45,$C$7,$C$8,BF$35,$C$10,$C$11,$C$12,$C$13)</f>
        <v>9.3105350241535476E-2</v>
      </c>
      <c r="BG45" s="20" cm="1">
        <f t="array" ref="BG45">lb_put_delta_mc($N45,$C$7,$C$8,BG$35,$C$10,$C$11,$C$12,$C$13)</f>
        <v>8.5685820174170618E-2</v>
      </c>
      <c r="BH45" s="20" cm="1">
        <f t="array" ref="BH45">lb_put_delta_mc($N45,$C$7,$C$8,BH$35,$C$10,$C$11,$C$12,$C$13)</f>
        <v>7.7314155165845735E-2</v>
      </c>
      <c r="BI45" s="20" cm="1">
        <f t="array" ref="BI45">lb_put_delta_mc($N45,$C$7,$C$8,BI$35,$C$10,$C$11,$C$12,$C$13)</f>
        <v>6.7606796441851594E-2</v>
      </c>
      <c r="BJ45" s="20" cm="1">
        <f t="array" ref="BJ45">lb_put_delta_mc($N45,$C$7,$C$8,BJ$35,$C$10,$C$11,$C$12,$C$13)</f>
        <v>5.5835587823467016E-2</v>
      </c>
      <c r="BK45" s="20" cm="1">
        <f t="array" ref="BK45">lb_put_delta_mc($N45,$C$7,$C$8,BK$35,$C$10,$C$11,$C$12,$C$13)</f>
        <v>4.005974978447558E-2</v>
      </c>
      <c r="BL45" s="20">
        <v>0</v>
      </c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0"/>
      <c r="CD45" s="20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0"/>
      <c r="CR45" s="20"/>
      <c r="CS45" s="20"/>
      <c r="CT45" s="20"/>
      <c r="CU45" s="20"/>
      <c r="CV45" s="20"/>
      <c r="CW45" s="20"/>
      <c r="CX45" s="20"/>
      <c r="CY45" s="20"/>
      <c r="CZ45" s="20"/>
      <c r="DA45" s="20"/>
      <c r="DB45" s="20"/>
      <c r="DC45" s="20"/>
      <c r="DD45" s="20"/>
      <c r="DE45" s="20"/>
      <c r="DF45" s="20"/>
      <c r="DG45" s="20"/>
      <c r="DH45" s="20"/>
      <c r="DI45" s="20"/>
      <c r="DJ45" s="20"/>
    </row>
    <row r="46" spans="1:114" ht="20.55" customHeight="1" x14ac:dyDescent="0.45">
      <c r="N46" s="21">
        <f>2*$C$6</f>
        <v>200</v>
      </c>
      <c r="O46" s="20" cm="1">
        <f t="array" ref="O46">lb_call_price_mc($N46,$C$7,$C$8,O$35,$C$10,$C$11,$C$12,$C$13)</f>
        <v>37.094723600792236</v>
      </c>
      <c r="P46" s="20" cm="1">
        <f t="array" ref="P46">lb_call_price_mc($N46,$C$7,$C$8,P$35,$C$10,$C$11,$C$12,$C$13)</f>
        <v>35.013280133940597</v>
      </c>
      <c r="Q46" s="20" cm="1">
        <f t="array" ref="Q46">lb_call_price_mc($N46,$C$7,$C$8,Q$35,$C$10,$C$11,$C$12,$C$13)</f>
        <v>32.830480774272509</v>
      </c>
      <c r="R46" s="20" cm="1">
        <f t="array" ref="R46">lb_call_price_mc($N46,$C$7,$C$8,R$35,$C$10,$C$11,$C$12,$C$13)</f>
        <v>30.52719176489078</v>
      </c>
      <c r="S46" s="20" cm="1">
        <f t="array" ref="S46">lb_call_price_mc($N46,$C$7,$C$8,S$35,$C$10,$C$11,$C$12,$C$13)</f>
        <v>28.077285296858587</v>
      </c>
      <c r="T46" s="20" cm="1">
        <f t="array" ref="T46">lb_call_price_mc($N46,$C$7,$C$8,T$35,$C$10,$C$11,$C$12,$C$13)</f>
        <v>25.443437054063686</v>
      </c>
      <c r="U46" s="20" cm="1">
        <f t="array" ref="U46">lb_call_price_mc($N46,$C$7,$C$8,U$35,$C$10,$C$11,$C$12,$C$13)</f>
        <v>22.569657338331744</v>
      </c>
      <c r="V46" s="20" cm="1">
        <f t="array" ref="V46">lb_call_price_mc($N46,$C$7,$C$8,V$35,$C$10,$C$11,$C$12,$C$13)</f>
        <v>19.360417598364073</v>
      </c>
      <c r="W46" s="20" cm="1">
        <f t="array" ref="W46">lb_call_price_mc($N46,$C$7,$C$8,W$35,$C$10,$C$11,$C$12,$C$13)</f>
        <v>15.624572853019487</v>
      </c>
      <c r="X46" s="20" cm="1">
        <f t="array" ref="X46">lb_call_price_mc($N46,$C$7,$C$8,X$35,$C$10,$C$11,$C$12,$C$13)</f>
        <v>10.874804152526879</v>
      </c>
      <c r="Y46" s="20">
        <v>0</v>
      </c>
      <c r="Z46" s="20"/>
      <c r="AA46" s="21">
        <f>2*$C$6</f>
        <v>200</v>
      </c>
      <c r="AB46" s="20" cm="1">
        <f t="array" ref="AB46">lb_put_price_mc($N46,$C$7,$C$8,AB$35,$C$10,$C$11,$C$12,$C$13)</f>
        <v>23.365475045535312</v>
      </c>
      <c r="AC46" s="20" cm="1">
        <f t="array" ref="AC46">lb_put_price_mc($N46,$C$7,$C$8,AC$35,$C$10,$C$11,$C$12,$C$13)</f>
        <v>22.314513522638975</v>
      </c>
      <c r="AD46" s="20" cm="1">
        <f t="array" ref="AD46">lb_put_price_mc($N46,$C$7,$C$8,AD$35,$C$10,$C$11,$C$12,$C$13)</f>
        <v>21.184474030818905</v>
      </c>
      <c r="AE46" s="20" cm="1">
        <f t="array" ref="AE46">lb_put_price_mc($N46,$C$7,$C$8,AE$35,$C$10,$C$11,$C$12,$C$13)</f>
        <v>19.960246996377833</v>
      </c>
      <c r="AF46" s="20" cm="1">
        <f t="array" ref="AF46">lb_put_price_mc($N46,$C$7,$C$8,AF$35,$C$10,$C$11,$C$12,$C$13)</f>
        <v>18.621070048301952</v>
      </c>
      <c r="AG46" s="20" cm="1">
        <f t="array" ref="AG46">lb_put_price_mc($N46,$C$7,$C$8,AG$35,$C$10,$C$11,$C$12,$C$13)</f>
        <v>17.137164034827961</v>
      </c>
      <c r="AH46" s="20" cm="1">
        <f t="array" ref="AH46">lb_put_price_mc($N46,$C$7,$C$8,AH$35,$C$10,$C$11,$C$12,$C$13)</f>
        <v>15.462831033158281</v>
      </c>
      <c r="AI46" s="20" cm="1">
        <f t="array" ref="AI46">lb_put_price_mc($N46,$C$7,$C$8,AI$35,$C$10,$C$11,$C$12,$C$13)</f>
        <v>13.521359288348128</v>
      </c>
      <c r="AJ46" s="20" cm="1">
        <f t="array" ref="AJ46">lb_put_price_mc($N46,$C$7,$C$8,AJ$35,$C$10,$C$11,$C$12,$C$13)</f>
        <v>11.167117564644995</v>
      </c>
      <c r="AK46" s="20" cm="1">
        <f t="array" ref="AK46">lb_put_price_mc($N46,$C$7,$C$8,AK$35,$C$10,$C$11,$C$12,$C$13)</f>
        <v>8.0119499568745454</v>
      </c>
      <c r="AL46" s="20">
        <v>0</v>
      </c>
      <c r="AM46" s="20"/>
      <c r="AN46" s="21">
        <f>2*$C$6</f>
        <v>200</v>
      </c>
      <c r="AO46" s="20" cm="1">
        <f t="array" ref="AO46">lb_call_delta_mc($N46,$C$7,$C$8,AO$35,$C$10,$C$11,$C$12,$C$13)</f>
        <v>0.18547361800430867</v>
      </c>
      <c r="AP46" s="20" cm="1">
        <f t="array" ref="AP46">lb_call_delta_mc($N46,$C$7,$C$8,AP$35,$C$10,$C$11,$C$12,$C$13)</f>
        <v>0.17506640067014695</v>
      </c>
      <c r="AQ46" s="20" cm="1">
        <f t="array" ref="AQ46">lb_call_delta_mc($N46,$C$7,$C$8,AQ$35,$C$10,$C$11,$C$12,$C$13)</f>
        <v>0.16415240387139768</v>
      </c>
      <c r="AR46" s="20" cm="1">
        <f t="array" ref="AR46">lb_call_delta_mc($N46,$C$7,$C$8,AR$35,$C$10,$C$11,$C$12,$C$13)</f>
        <v>0.15263595882475045</v>
      </c>
      <c r="AS46" s="20" cm="1">
        <f t="array" ref="AS46">lb_call_delta_mc($N46,$C$7,$C$8,AS$35,$C$10,$C$11,$C$12,$C$13)</f>
        <v>0.14038642648458047</v>
      </c>
      <c r="AT46" s="20" cm="1">
        <f t="array" ref="AT46">lb_call_delta_mc($N46,$C$7,$C$8,AT$35,$C$10,$C$11,$C$12,$C$13)</f>
        <v>0.12721718527051343</v>
      </c>
      <c r="AU46" s="20" cm="1">
        <f t="array" ref="AU46">lb_call_delta_mc($N46,$C$7,$C$8,AU$35,$C$10,$C$11,$C$12,$C$13)</f>
        <v>0.11284828669195625</v>
      </c>
      <c r="AV46" s="20" cm="1">
        <f t="array" ref="AV46">lb_call_delta_mc($N46,$C$7,$C$8,AV$35,$C$10,$C$11,$C$12,$C$13)</f>
        <v>9.6802087991671046E-2</v>
      </c>
      <c r="AW46" s="20" cm="1">
        <f t="array" ref="AW46">lb_call_delta_mc($N46,$C$7,$C$8,AW$35,$C$10,$C$11,$C$12,$C$13)</f>
        <v>7.8122864265229575E-2</v>
      </c>
      <c r="AX46" s="20" cm="1">
        <f t="array" ref="AX46">lb_call_delta_mc($N46,$C$7,$C$8,AX$35,$C$10,$C$11,$C$12,$C$13)</f>
        <v>5.4374020762604343E-2</v>
      </c>
      <c r="AY46" s="20">
        <v>0</v>
      </c>
      <c r="AZ46" s="20"/>
      <c r="BA46" s="21">
        <f>2*$C$6</f>
        <v>200</v>
      </c>
      <c r="BB46" s="20" cm="1">
        <f t="array" ref="BB46">lb_put_delta_mc($N46,$C$7,$C$8,BB$35,$C$10,$C$11,$C$12,$C$13)</f>
        <v>0.11682737522750146</v>
      </c>
      <c r="BC46" s="20" cm="1">
        <f t="array" ref="BC46">lb_put_delta_mc($N46,$C$7,$C$8,BC$35,$C$10,$C$11,$C$12,$C$13)</f>
        <v>0.11157256761307763</v>
      </c>
      <c r="BD46" s="20" cm="1">
        <f t="array" ref="BD46">lb_put_delta_mc($N46,$C$7,$C$8,BD$35,$C$10,$C$11,$C$12,$C$13)</f>
        <v>0.10592237015430017</v>
      </c>
      <c r="BE46" s="20" cm="1">
        <f t="array" ref="BE46">lb_put_delta_mc($N46,$C$7,$C$8,BE$35,$C$10,$C$11,$C$12,$C$13)</f>
        <v>9.9801234981630807E-2</v>
      </c>
      <c r="BF46" s="20" cm="1">
        <f t="array" ref="BF46">lb_put_delta_mc($N46,$C$7,$C$8,BF$35,$C$10,$C$11,$C$12,$C$13)</f>
        <v>9.3105350241542359E-2</v>
      </c>
      <c r="BG46" s="20" cm="1">
        <f t="array" ref="BG46">lb_put_delta_mc($N46,$C$7,$C$8,BG$35,$C$10,$C$11,$C$12,$C$13)</f>
        <v>8.5685820173995453E-2</v>
      </c>
      <c r="BH46" s="20" cm="1">
        <f t="array" ref="BH46">lb_put_delta_mc($N46,$C$7,$C$8,BH$35,$C$10,$C$11,$C$12,$C$13)</f>
        <v>7.7314155165880721E-2</v>
      </c>
      <c r="BI46" s="20" cm="1">
        <f t="array" ref="BI46">lb_put_delta_mc($N46,$C$7,$C$8,BI$35,$C$10,$C$11,$C$12,$C$13)</f>
        <v>6.7606796441900124E-2</v>
      </c>
      <c r="BJ46" s="20" cm="1">
        <f t="array" ref="BJ46">lb_put_delta_mc($N46,$C$7,$C$8,BJ$35,$C$10,$C$11,$C$12,$C$13)</f>
        <v>5.5835587823118461E-2</v>
      </c>
      <c r="BK46" s="20" cm="1">
        <f t="array" ref="BK46">lb_put_delta_mc($N46,$C$7,$C$8,BK$35,$C$10,$C$11,$C$12,$C$13)</f>
        <v>4.0059749784362664E-2</v>
      </c>
      <c r="BL46" s="20">
        <v>0</v>
      </c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0"/>
    </row>
    <row r="47" spans="1:114" ht="20.55" customHeight="1" x14ac:dyDescent="0.45"/>
    <row r="48" spans="1:114" ht="46.9" x14ac:dyDescent="0.45">
      <c r="A48" s="5" t="s">
        <v>35</v>
      </c>
    </row>
    <row r="49" ht="20.55" customHeight="1" x14ac:dyDescent="0.45"/>
    <row r="50" ht="20.55" customHeight="1" x14ac:dyDescent="0.45"/>
    <row r="51" ht="20.55" customHeight="1" x14ac:dyDescent="0.45"/>
    <row r="52" ht="20.55" customHeight="1" x14ac:dyDescent="0.45"/>
    <row r="53" ht="20.55" customHeight="1" x14ac:dyDescent="0.45"/>
    <row r="54" ht="20.55" customHeight="1" x14ac:dyDescent="0.45"/>
    <row r="55" ht="20.55" customHeight="1" x14ac:dyDescent="0.45"/>
    <row r="56" ht="20.55" customHeight="1" x14ac:dyDescent="0.45"/>
    <row r="57" ht="20.55" customHeight="1" x14ac:dyDescent="0.45"/>
    <row r="58" ht="20.55" customHeight="1" x14ac:dyDescent="0.45"/>
    <row r="59" ht="20.55" customHeight="1" x14ac:dyDescent="0.45"/>
    <row r="60" ht="20.55" customHeight="1" x14ac:dyDescent="0.45"/>
    <row r="61" ht="20.55" customHeight="1" x14ac:dyDescent="0.45"/>
    <row r="62" ht="20.55" customHeight="1" x14ac:dyDescent="0.45"/>
    <row r="63" ht="20.55" customHeight="1" x14ac:dyDescent="0.45"/>
    <row r="64" ht="20.55" customHeight="1" x14ac:dyDescent="0.45"/>
    <row r="65" ht="20.55" customHeight="1" x14ac:dyDescent="0.45"/>
    <row r="66" ht="20.55" customHeight="1" x14ac:dyDescent="0.45"/>
    <row r="67" ht="20.55" customHeight="1" x14ac:dyDescent="0.45"/>
    <row r="68" ht="20.55" customHeight="1" x14ac:dyDescent="0.45"/>
    <row r="69" ht="20.55" customHeight="1" x14ac:dyDescent="0.45"/>
    <row r="70" ht="20.55" customHeight="1" x14ac:dyDescent="0.45"/>
    <row r="71" ht="20.55" customHeight="1" x14ac:dyDescent="0.45"/>
    <row r="72" ht="20.55" customHeight="1" x14ac:dyDescent="0.45"/>
    <row r="73" ht="20.55" customHeight="1" x14ac:dyDescent="0.45"/>
    <row r="74" ht="20.55" customHeight="1" x14ac:dyDescent="0.45"/>
    <row r="75" ht="20.55" customHeight="1" x14ac:dyDescent="0.45"/>
    <row r="76" ht="20.55" customHeight="1" x14ac:dyDescent="0.45"/>
    <row r="77" ht="20.55" customHeight="1" x14ac:dyDescent="0.45"/>
    <row r="78" ht="20.55" customHeight="1" x14ac:dyDescent="0.45"/>
    <row r="79" ht="20.55" customHeight="1" x14ac:dyDescent="0.45"/>
    <row r="80" ht="20.55" customHeight="1" x14ac:dyDescent="0.45"/>
    <row r="81" ht="20.65" customHeight="1" x14ac:dyDescent="0.45"/>
    <row r="82" ht="20.65" customHeight="1" x14ac:dyDescent="0.45"/>
    <row r="83" ht="20.65" customHeight="1" x14ac:dyDescent="0.45"/>
    <row r="84" ht="20.65" customHeight="1" x14ac:dyDescent="0.45"/>
    <row r="85" ht="20.65" customHeight="1" x14ac:dyDescent="0.45"/>
    <row r="86" ht="20.65" customHeight="1" x14ac:dyDescent="0.45"/>
    <row r="87" ht="20.65" customHeight="1" x14ac:dyDescent="0.45"/>
    <row r="88" ht="20.65" customHeight="1" x14ac:dyDescent="0.45"/>
    <row r="89" ht="20.65" customHeight="1" x14ac:dyDescent="0.45"/>
    <row r="90" ht="20.65" customHeight="1" x14ac:dyDescent="0.45"/>
    <row r="91" ht="20.65" customHeight="1" x14ac:dyDescent="0.45"/>
    <row r="92" ht="20.65" customHeight="1" x14ac:dyDescent="0.45"/>
  </sheetData>
  <dataValidations count="1">
    <dataValidation type="list" allowBlank="1" showInputMessage="1" showErrorMessage="1" sqref="B3" xr:uid="{37F4C9D2-7426-439B-865E-2D4C888BBE6E}">
      <formula1>$H$2:$H$3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griseri</dc:creator>
  <cp:lastModifiedBy>manuel griseri</cp:lastModifiedBy>
  <dcterms:created xsi:type="dcterms:W3CDTF">2025-11-18T10:15:01Z</dcterms:created>
  <dcterms:modified xsi:type="dcterms:W3CDTF">2026-01-09T18:31:58Z</dcterms:modified>
</cp:coreProperties>
</file>